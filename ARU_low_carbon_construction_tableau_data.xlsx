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30eba03f4242a9" /></Relationships>
</file>

<file path=xl/workbook.xml><?xml version="1.0" encoding="utf-8"?>
<x:workbook xmlns:x="http://schemas.openxmlformats.org/spreadsheetml/2006/main">
  <x:sheets>
    <x:sheet xmlns:r="http://schemas.openxmlformats.org/officeDocument/2006/relationships" name="START_HERE" sheetId="1" r:id="R5a07b5b3d525439f"/>
    <x:sheet xmlns:r="http://schemas.openxmlformats.org/officeDocument/2006/relationships" name="Scenario_Presets" sheetId="2" r:id="R2ccb29df20dd4aa0"/>
    <x:sheet xmlns:r="http://schemas.openxmlformats.org/officeDocument/2006/relationships" name="Strategy_Assumptions" sheetId="3" r:id="Red306597b3064fb1"/>
    <x:sheet xmlns:r="http://schemas.openxmlformats.org/officeDocument/2006/relationships" name="Emission_Factors" sheetId="4" r:id="R2d736e2171cd4ed9"/>
    <x:sheet xmlns:r="http://schemas.openxmlformats.org/officeDocument/2006/relationships" name="Plant_Specs" sheetId="5" r:id="Rb98828af7487426e"/>
    <x:sheet xmlns:r="http://schemas.openxmlformats.org/officeDocument/2006/relationships" name="Model" sheetId="6" r:id="Ra458b12d4fc3410f"/>
    <x:sheet xmlns:r="http://schemas.openxmlformats.org/officeDocument/2006/relationships" name="Tableau_Wide" sheetId="7" r:id="Rc3281feca8464e1c"/>
    <x:sheet xmlns:r="http://schemas.openxmlformats.org/officeDocument/2006/relationships" name="Dashboard_Preview" sheetId="8" r:id="R2da901c0ce754fa4"/>
    <x:sheet xmlns:r="http://schemas.openxmlformats.org/officeDocument/2006/relationships" name="Tableau_Build_Guide" sheetId="9" r:id="R481f10c913e54cdc"/>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
    <x:numFmt numFmtId="201" formatCode="0.00000"/>
    <x:numFmt numFmtId="202" formatCode="£0.00"/>
    <x:numFmt numFmtId="203" formatCode="£0"/>
    <x:numFmt numFmtId="204" formatCode="0.00"/>
    <x:numFmt numFmtId="205" formatCode="0.0%"/>
    <x:numFmt numFmtId="206" formatCode="0.0 &quot;kgCO2e&quot;"/>
    <x:numFmt numFmtId="207" formatCode="0.0"/>
  </x:numFmts>
  <x:fonts count="9">
    <x:font>
      <x:sz val="11"/>
      <x:name val="Carlito"/>
    </x:font>
    <x:font>
      <x:b/>
      <x:sz val="18"/>
      <x:color rgb="FFFFFFFF"/>
      <x:name val="Carlito"/>
    </x:font>
    <x:font>
      <x:i/>
      <x:sz val="11"/>
      <x:color rgb="FF123B5D"/>
      <x:name val="Carlito"/>
    </x:font>
    <x:font>
      <x:b/>
      <x:sz val="12"/>
      <x:color rgb="FF123B5D"/>
      <x:name val="Carlito"/>
    </x:font>
    <x:font>
      <x:b/>
      <x:sz val="11"/>
      <x:color rgb="FFFFFFFF"/>
      <x:name val="Carlito"/>
    </x:font>
    <x:font>
      <x:b/>
      <x:sz val="11"/>
      <x:color rgb="FF123B5D"/>
      <x:name val="Carlito"/>
    </x:font>
    <x:font>
      <x:b/>
      <x:sz val="16"/>
      <x:color rgb="FF123B5D"/>
      <x:name val="Carlito"/>
    </x:font>
    <x:font>
      <x:b/>
      <x:sz val="11"/>
      <x:color rgb="FF5E4A00"/>
      <x:name val="Carlito"/>
    </x:font>
    <x:font>
      <x:sz val="11"/>
      <x:color rgb="FF123B5D"/>
      <x:name val="Carlito"/>
    </x:font>
  </x:fonts>
  <x:fills count="11">
    <x:fill>
      <x:patternFill patternType="none"/>
    </x:fill>
    <x:fill>
      <x:patternFill patternType="gray125"/>
    </x:fill>
    <x:fill>
      <x:patternFill patternType="solid">
        <x:fgColor rgb="FF123B5D"/>
      </x:patternFill>
    </x:fill>
    <x:fill>
      <x:patternFill patternType="solid">
        <x:fgColor rgb="FFE8F1F4"/>
      </x:patternFill>
    </x:fill>
    <x:fill>
      <x:patternFill patternType="solid">
        <x:fgColor rgb="FFDCEAF3"/>
      </x:patternFill>
    </x:fill>
    <x:fill>
      <x:patternFill patternType="solid">
        <x:fgColor rgb="FF1F6B7A"/>
      </x:patternFill>
    </x:fill>
    <x:fill>
      <x:patternFill patternType="solid">
        <x:fgColor rgb="FFDFF2E1"/>
      </x:patternFill>
    </x:fill>
    <x:fill>
      <x:patternFill patternType="solid">
        <x:fgColor rgb="FFDDEBFA"/>
      </x:patternFill>
    </x:fill>
    <x:fill>
      <x:patternFill patternType="solid">
        <x:fgColor rgb="FFFFF1CC"/>
      </x:patternFill>
    </x:fill>
    <x:fill>
      <x:patternFill patternType="solid">
        <x:fgColor rgb="FFE9E0F6"/>
      </x:patternFill>
    </x:fill>
    <x:fill>
      <x:patternFill patternType="solid">
        <x:fgColor rgb="FFF2F2F2"/>
      </x:patternFill>
    </x:fill>
  </x:fills>
  <x:borders count="2">
    <x:border/>
    <x:border/>
  </x:borders>
  <x:cellStyleXfs count="1">
    <x:xf numFmtId="0" fontId="0" fillId="0" borderId="0"/>
  </x:cellStyleXfs>
  <x:cellXfs count="17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6" borderId="0" xfId="0" applyNumberFormat="1" applyFont="1" applyFill="1" applyBorder="1"/>
    <x:xf numFmtId="0" fontId="0" fillId="6"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0" fillId="8" borderId="0" xfId="0" applyNumberFormat="1" applyFont="1" applyFill="1" applyBorder="1"/>
    <x:xf numFmtId="0" fontId="0" fillId="8" borderId="1" xfId="0" applyNumberFormat="1" applyFont="1" applyFill="1" applyBorder="1"/>
    <x:xf numFmtId="0" fontId="0" fillId="9" borderId="0" xfId="0" applyNumberFormat="1" applyFont="1" applyFill="1" applyBorder="1"/>
    <x:xf numFmtId="0" fontId="0" fillId="9" borderId="1" xfId="0" applyNumberFormat="1" applyFont="1" applyFill="1" applyBorder="1"/>
    <x:xf numFmtId="0" fontId="0"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0" fillId="6" borderId="1" xfId="0" applyNumberFormat="1" applyFont="1" applyFill="1" applyBorder="1" applyAlignment="1">
      <x:alignment wrapText="1"/>
    </x:xf>
    <x:xf numFmtId="0" fontId="0" fillId="7" borderId="1" xfId="0" applyNumberFormat="1" applyFont="1" applyFill="1" applyBorder="1" applyAlignment="1">
      <x:alignment wrapText="1"/>
    </x:xf>
    <x:xf numFmtId="0" fontId="0" fillId="8" borderId="1" xfId="0" applyNumberFormat="1" applyFont="1" applyFill="1" applyBorder="1" applyAlignment="1">
      <x:alignment wrapText="1"/>
    </x:xf>
    <x:xf numFmtId="0" fontId="0" fillId="9" borderId="1" xfId="0" applyNumberFormat="1" applyFont="1" applyFill="1" applyBorder="1" applyAlignment="1">
      <x:alignment wrapText="1"/>
    </x:xf>
    <x:xf numFmtId="0" fontId="0" fillId="10" borderId="0" xfId="0" applyNumberFormat="1" applyFont="1" applyFill="1" applyBorder="1"/>
    <x:xf numFmtId="0" fontId="0" fillId="10" borderId="1" xfId="0" applyNumberFormat="1" applyFont="1" applyFill="1" applyBorder="1"/>
    <x:xf numFmtId="200" fontId="0" fillId="8" borderId="0" xfId="0" applyNumberFormat="1" applyFont="1" applyFill="1" applyBorder="1"/>
    <x:xf numFmtId="200" fontId="0" fillId="8" borderId="1" xfId="0" applyNumberFormat="1" applyFont="1" applyFill="1" applyBorder="1"/>
    <x:xf numFmtId="201" fontId="0" fillId="6" borderId="0" xfId="0" applyNumberFormat="1" applyFont="1" applyFill="1" applyBorder="1"/>
    <x:xf numFmtId="201" fontId="0" fillId="6" borderId="1" xfId="0" applyNumberFormat="1" applyFont="1" applyFill="1" applyBorder="1"/>
    <x:xf numFmtId="202" fontId="0" fillId="8" borderId="0" xfId="0" applyNumberFormat="1" applyFont="1" applyFill="1" applyBorder="1"/>
    <x:xf numFmtId="202" fontId="0" fillId="8" borderId="1" xfId="0" applyNumberFormat="1" applyFont="1" applyFill="1" applyBorder="1"/>
    <x:xf numFmtId="200" fontId="0" fillId="8" borderId="0" xfId="0" applyNumberFormat="1" applyFont="1" applyFill="1" applyBorder="1" applyAlignment="1">
      <x:alignment wrapText="1"/>
    </x:xf>
    <x:xf numFmtId="201" fontId="0" fillId="6" borderId="0" xfId="0" applyNumberFormat="1" applyFont="1" applyFill="1" applyBorder="1" applyAlignment="1">
      <x:alignment wrapText="1"/>
    </x:xf>
    <x:xf numFmtId="202" fontId="0" fillId="8" borderId="0" xfId="0" applyNumberFormat="1" applyFont="1" applyFill="1" applyBorder="1" applyAlignment="1">
      <x:alignment wrapText="1"/>
    </x:xf>
    <x:xf numFmtId="0" fontId="0" fillId="10" borderId="0" xfId="0" applyNumberFormat="1" applyFont="1" applyFill="1" applyBorder="1" applyAlignment="1">
      <x:alignment wrapText="1"/>
    </x:xf>
    <x:xf numFmtId="200" fontId="0" fillId="8" borderId="1" xfId="0" applyNumberFormat="1" applyFont="1" applyFill="1" applyBorder="1" applyAlignment="1">
      <x:alignment wrapText="1"/>
    </x:xf>
    <x:xf numFmtId="201" fontId="0" fillId="6" borderId="1" xfId="0" applyNumberFormat="1" applyFont="1" applyFill="1" applyBorder="1" applyAlignment="1">
      <x:alignment wrapText="1"/>
    </x:xf>
    <x:xf numFmtId="202" fontId="0" fillId="8" borderId="1" xfId="0" applyNumberFormat="1" applyFont="1" applyFill="1" applyBorder="1" applyAlignment="1">
      <x:alignment wrapText="1"/>
    </x:xf>
    <x:xf numFmtId="0" fontId="0" fillId="10" borderId="1" xfId="0" applyNumberFormat="1" applyFont="1" applyFill="1" applyBorder="1" applyAlignment="1">
      <x:alignment wrapText="1"/>
    </x:xf>
    <x:xf numFmtId="203" fontId="0" fillId="8" borderId="0" xfId="0" applyNumberFormat="1" applyFont="1" applyFill="1" applyBorder="1"/>
    <x:xf numFmtId="203" fontId="0" fillId="8" borderId="1" xfId="0" applyNumberFormat="1" applyFont="1" applyFill="1" applyBorder="1"/>
    <x:xf numFmtId="203" fontId="0" fillId="8" borderId="0" xfId="0" applyNumberFormat="1" applyFont="1" applyFill="1" applyBorder="1" applyAlignment="1">
      <x:alignment wrapText="1"/>
    </x:xf>
    <x:xf numFmtId="203" fontId="0" fillId="8" borderId="1" xfId="0" applyNumberFormat="1" applyFont="1" applyFill="1" applyBorder="1" applyAlignment="1">
      <x:alignment wrapText="1"/>
    </x:xf>
    <x:xf numFmtId="201" fontId="0" fillId="8" borderId="0" xfId="0" applyNumberFormat="1" applyFont="1" applyFill="1" applyBorder="1"/>
    <x:xf numFmtId="201" fontId="0" fillId="8" borderId="1" xfId="0" applyNumberFormat="1" applyFont="1" applyFill="1" applyBorder="1"/>
    <x:xf numFmtId="204" fontId="0" fillId="9" borderId="0" xfId="0" applyNumberFormat="1" applyFont="1" applyFill="1" applyBorder="1"/>
    <x:xf numFmtId="204" fontId="0" fillId="9" borderId="1" xfId="0" applyNumberFormat="1" applyFont="1" applyFill="1" applyBorder="1"/>
    <x:xf numFmtId="205" fontId="0" fillId="9" borderId="0" xfId="0" applyNumberFormat="1" applyFont="1" applyFill="1" applyBorder="1"/>
    <x:xf numFmtId="205" fontId="0" fillId="9" borderId="1" xfId="0" applyNumberFormat="1" applyFont="1" applyFill="1" applyBorder="1"/>
    <x:xf numFmtId="201" fontId="0" fillId="8" borderId="0" xfId="0" applyNumberFormat="1" applyFont="1" applyFill="1" applyBorder="1" applyAlignment="1">
      <x:alignment wrapText="1"/>
    </x:xf>
    <x:xf numFmtId="204" fontId="0" fillId="9" borderId="0" xfId="0" applyNumberFormat="1" applyFont="1" applyFill="1" applyBorder="1" applyAlignment="1">
      <x:alignment wrapText="1"/>
    </x:xf>
    <x:xf numFmtId="205" fontId="0" fillId="9" borderId="0" xfId="0" applyNumberFormat="1" applyFont="1" applyFill="1" applyBorder="1" applyAlignment="1">
      <x:alignment wrapText="1"/>
    </x:xf>
    <x:xf numFmtId="201" fontId="0" fillId="8" borderId="1" xfId="0" applyNumberFormat="1" applyFont="1" applyFill="1" applyBorder="1" applyAlignment="1">
      <x:alignment wrapText="1"/>
    </x:xf>
    <x:xf numFmtId="204" fontId="0" fillId="9" borderId="1" xfId="0" applyNumberFormat="1" applyFont="1" applyFill="1" applyBorder="1" applyAlignment="1">
      <x:alignment wrapText="1"/>
    </x:xf>
    <x:xf numFmtId="205" fontId="0" fillId="9" borderId="1" xfId="0" applyNumberFormat="1" applyFont="1" applyFill="1" applyBorder="1" applyAlignment="1">
      <x:alignment wrapText="1"/>
    </x:xf>
    <x:xf numFmtId="202" fontId="0" fillId="9" borderId="0" xfId="0" applyNumberFormat="1" applyFont="1" applyFill="1" applyBorder="1"/>
    <x:xf numFmtId="202" fontId="0" fillId="9" borderId="1" xfId="0" applyNumberFormat="1" applyFont="1" applyFill="1" applyBorder="1"/>
    <x:xf numFmtId="202" fontId="0" fillId="9" borderId="0" xfId="0" applyNumberFormat="1" applyFont="1" applyFill="1" applyBorder="1" applyAlignment="1">
      <x:alignment wrapText="1"/>
    </x:xf>
    <x:xf numFmtId="202" fontId="0" fillId="9" borderId="1" xfId="0" applyNumberFormat="1" applyFont="1" applyFill="1" applyBorder="1" applyAlignment="1">
      <x:alignment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horizontal="center" wrapText="1"/>
    </x:xf>
    <x:xf numFmtId="0" fontId="5" fillId="3" borderId="0" xfId="0" applyNumberFormat="1" applyFont="1" applyFill="1" applyBorder="1" applyAlignment="1">
      <x:alignment horizontal="center" vertical="top" wrapText="1"/>
    </x:xf>
    <x:xf numFmtId="0" fontId="5" fillId="3" borderId="1" xfId="0" applyNumberFormat="1" applyFont="1" applyFill="1" applyBorder="1"/>
    <x:xf numFmtId="0" fontId="5" fillId="3" borderId="1" xfId="0" applyNumberFormat="1" applyFont="1" applyFill="1" applyBorder="1" applyAlignment="1">
      <x:alignment wrapText="1"/>
    </x:xf>
    <x:xf numFmtId="0" fontId="5" fillId="3" borderId="1" xfId="0" applyNumberFormat="1" applyFont="1" applyFill="1" applyBorder="1" applyAlignment="1">
      <x:alignment horizontal="center" wrapText="1"/>
    </x:xf>
    <x:xf numFmtId="0" fontId="5" fillId="3" borderId="1" xfId="0" applyNumberFormat="1" applyFont="1" applyFill="1" applyBorder="1" applyAlignment="1">
      <x:alignment horizontal="center" vertical="top" wrapText="1"/>
    </x:xf>
    <x:xf numFmtId="0" fontId="5" fillId="3" borderId="0" xfId="0" applyNumberFormat="1" applyFont="1" applyFill="1" applyBorder="1" applyAlignment="1">
      <x:alignment horizontal="left" wrapText="1"/>
    </x:xf>
    <x:xf numFmtId="0" fontId="5" fillId="3" borderId="0" xfId="0" applyNumberFormat="1" applyFont="1" applyFill="1" applyBorder="1" applyAlignment="1">
      <x:alignment horizontal="left" vertical="center" wrapText="1"/>
    </x:xf>
    <x:xf numFmtId="0" fontId="5" fillId="3" borderId="1" xfId="0" applyNumberFormat="1" applyFont="1" applyFill="1" applyBorder="1" applyAlignment="1">
      <x:alignment horizontal="left" wrapText="1"/>
    </x:xf>
    <x:xf numFmtId="0" fontId="5" fillId="3" borderId="1" xfId="0" applyNumberFormat="1" applyFont="1" applyFill="1" applyBorder="1" applyAlignment="1">
      <x:alignment horizontal="left" vertical="center" wrapText="1"/>
    </x:xf>
    <x:xf numFmtId="0" fontId="6" fillId="0" borderId="0" xfId="0" applyNumberFormat="1" applyFont="1" applyFill="1" applyBorder="1"/>
    <x:xf numFmtId="0" fontId="6" fillId="0" borderId="1" xfId="0" applyNumberFormat="1" applyFont="1" applyFill="1" applyBorder="1"/>
    <x:xf numFmtId="206" fontId="6" fillId="0" borderId="0" xfId="0" applyNumberFormat="1" applyFont="1" applyFill="1" applyBorder="1"/>
    <x:xf numFmtId="206" fontId="6" fillId="0" borderId="1" xfId="0" applyNumberFormat="1" applyFont="1" applyFill="1" applyBorder="1"/>
    <x:xf numFmtId="207" fontId="0" fillId="0" borderId="0" xfId="0" applyNumberFormat="1" applyFont="1" applyFill="1" applyBorder="1"/>
    <x:xf numFmtId="207" fontId="0" fillId="0" borderId="1" xfId="0" applyNumberFormat="1" applyFont="1" applyFill="1" applyBorder="1"/>
    <x:xf numFmtId="205" fontId="0" fillId="0" borderId="0" xfId="0" applyNumberFormat="1" applyFont="1" applyFill="1" applyBorder="1"/>
    <x:xf numFmtId="205" fontId="0" fillId="0" borderId="1" xfId="0" applyNumberFormat="1" applyFont="1" applyFill="1" applyBorder="1"/>
    <x:xf numFmtId="207" fontId="0" fillId="0" borderId="0" xfId="0" applyNumberFormat="1" applyFont="1" applyFill="1" applyBorder="1" applyAlignment="1">
      <x:alignment wrapText="1"/>
    </x:xf>
    <x:xf numFmtId="205" fontId="0" fillId="0" borderId="0" xfId="0" applyNumberFormat="1" applyFont="1" applyFill="1" applyBorder="1" applyAlignment="1">
      <x:alignment wrapText="1"/>
    </x:xf>
    <x:xf numFmtId="207" fontId="0" fillId="0" borderId="1" xfId="0" applyNumberFormat="1" applyFont="1" applyFill="1" applyBorder="1" applyAlignment="1">
      <x:alignment wrapText="1"/>
    </x:xf>
    <x:xf numFmtId="205" fontId="0" fillId="0" borderId="1" xfId="0" applyNumberFormat="1" applyFont="1" applyFill="1" applyBorder="1" applyAlignment="1">
      <x:alignment wrapText="1"/>
    </x:xf>
    <x:xf numFmtId="203" fontId="0" fillId="0" borderId="0" xfId="0" applyNumberFormat="1" applyFont="1" applyFill="1" applyBorder="1"/>
    <x:xf numFmtId="203" fontId="0" fillId="0" borderId="1"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7" fillId="8" borderId="0" xfId="0" applyNumberFormat="1" applyFont="1" applyFill="1" applyBorder="1" applyAlignment="1">
      <x:alignment horizontal="left" wrapText="1"/>
    </x:xf>
    <x:xf numFmtId="0" fontId="7" fillId="8" borderId="0" xfId="0" applyNumberFormat="1" applyFont="1" applyFill="1" applyBorder="1" applyAlignment="1">
      <x:alignment horizontal="left" vertical="center" wrapText="1"/>
    </x:xf>
    <x:xf numFmtId="0" fontId="7" fillId="8" borderId="1" xfId="0" applyNumberFormat="1" applyFont="1" applyFill="1" applyBorder="1"/>
    <x:xf numFmtId="0" fontId="7" fillId="8" borderId="1" xfId="0" applyNumberFormat="1" applyFont="1" applyFill="1" applyBorder="1" applyAlignment="1">
      <x:alignment wrapText="1"/>
    </x:xf>
    <x:xf numFmtId="0" fontId="7" fillId="8" borderId="1" xfId="0" applyNumberFormat="1" applyFont="1" applyFill="1" applyBorder="1" applyAlignment="1">
      <x:alignment horizontal="left" wrapText="1"/>
    </x:xf>
    <x:xf numFmtId="0" fontId="7" fillId="8" borderId="1" xfId="0" applyNumberFormat="1" applyFont="1" applyFill="1" applyBorder="1" applyAlignment="1">
      <x:alignment horizontal="left" vertical="center" wrapText="1"/>
    </x:xf>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0" xfId="0" applyNumberFormat="1" applyFont="1" applyFill="1" applyBorder="1" applyAlignment="1">
      <x:alignment vertical="top" wrapText="1"/>
    </x:xf>
    <x:xf numFmtId="0" fontId="8" fillId="3" borderId="1" xfId="0" applyNumberFormat="1" applyFont="1" applyFill="1" applyBorder="1"/>
    <x:xf numFmtId="0" fontId="8" fillId="3" borderId="1" xfId="0" applyNumberFormat="1" applyFont="1" applyFill="1" applyBorder="1" applyAlignment="1">
      <x:alignment wrapText="1"/>
    </x:xf>
    <x:xf numFmtId="0" fontId="8" fillId="3" borderId="1" xfId="0" applyNumberFormat="1" applyFont="1" applyFill="1" applyBorder="1" applyAlignment="1">
      <x:alignment vertical="top"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0" fillId="8" borderId="0" xfId="0" applyNumberFormat="1" applyFont="1" applyFill="1" applyBorder="1" applyAlignment="1">
      <x:alignment vertical="center" wrapText="1"/>
    </x:xf>
    <x:xf numFmtId="0" fontId="0" fillId="9" borderId="0" xfId="0" applyNumberFormat="1" applyFont="1" applyFill="1" applyBorder="1" applyAlignment="1">
      <x:alignment vertical="center" wrapText="1"/>
    </x:xf>
    <x:xf numFmtId="0" fontId="0" fillId="0" borderId="1"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0" fillId="6" borderId="1" xfId="0" applyNumberFormat="1" applyFont="1" applyFill="1" applyBorder="1" applyAlignment="1">
      <x:alignment vertical="center" wrapText="1"/>
    </x:xf>
    <x:xf numFmtId="0" fontId="0" fillId="7" borderId="1" xfId="0" applyNumberFormat="1" applyFont="1" applyFill="1" applyBorder="1" applyAlignment="1">
      <x:alignment vertical="center" wrapText="1"/>
    </x:xf>
    <x:xf numFmtId="0" fontId="0" fillId="8" borderId="1" xfId="0" applyNumberFormat="1" applyFont="1" applyFill="1" applyBorder="1" applyAlignment="1">
      <x:alignment vertical="center" wrapText="1"/>
    </x:xf>
    <x:xf numFmtId="0" fontId="0" fillId="9" borderId="1" xfId="0" applyNumberFormat="1" applyFont="1" applyFill="1" applyBorder="1" applyAlignment="1">
      <x:alignment vertical="center" wrapText="1"/>
    </x:xf>
    <x:xf numFmtId="200" fontId="0" fillId="8" borderId="0" xfId="0" applyNumberFormat="1" applyFont="1" applyFill="1" applyBorder="1" applyAlignment="1">
      <x:alignment vertical="center" wrapText="1"/>
    </x:xf>
    <x:xf numFmtId="201" fontId="0" fillId="6" borderId="0" xfId="0" applyNumberFormat="1" applyFont="1" applyFill="1" applyBorder="1" applyAlignment="1">
      <x:alignment vertical="center" wrapText="1"/>
    </x:xf>
    <x:xf numFmtId="202" fontId="0" fillId="8" borderId="0" xfId="0" applyNumberFormat="1" applyFont="1" applyFill="1" applyBorder="1" applyAlignment="1">
      <x:alignment vertical="center" wrapText="1"/>
    </x:xf>
    <x:xf numFmtId="0" fontId="0" fillId="10" borderId="0" xfId="0" applyNumberFormat="1" applyFont="1" applyFill="1" applyBorder="1" applyAlignment="1">
      <x:alignment vertical="center" wrapText="1"/>
    </x:xf>
    <x:xf numFmtId="200" fontId="0" fillId="8" borderId="1" xfId="0" applyNumberFormat="1" applyFont="1" applyFill="1" applyBorder="1" applyAlignment="1">
      <x:alignment vertical="center" wrapText="1"/>
    </x:xf>
    <x:xf numFmtId="201" fontId="0" fillId="6" borderId="1" xfId="0" applyNumberFormat="1" applyFont="1" applyFill="1" applyBorder="1" applyAlignment="1">
      <x:alignment vertical="center" wrapText="1"/>
    </x:xf>
    <x:xf numFmtId="202" fontId="0" fillId="8" borderId="1" xfId="0" applyNumberFormat="1" applyFont="1" applyFill="1" applyBorder="1" applyAlignment="1">
      <x:alignment vertical="center" wrapText="1"/>
    </x:xf>
    <x:xf numFmtId="0" fontId="0" fillId="10" borderId="1" xfId="0" applyNumberFormat="1" applyFont="1" applyFill="1" applyBorder="1" applyAlignment="1">
      <x:alignment vertical="center" wrapText="1"/>
    </x:xf>
    <x:xf numFmtId="203" fontId="0" fillId="8" borderId="0" xfId="0" applyNumberFormat="1" applyFont="1" applyFill="1" applyBorder="1" applyAlignment="1">
      <x:alignment vertical="center" wrapText="1"/>
    </x:xf>
    <x:xf numFmtId="203" fontId="0" fillId="8" borderId="1" xfId="0" applyNumberFormat="1" applyFont="1" applyFill="1" applyBorder="1" applyAlignment="1">
      <x:alignment vertical="center" wrapText="1"/>
    </x:xf>
    <x:xf numFmtId="201" fontId="0" fillId="8" borderId="0" xfId="0" applyNumberFormat="1" applyFont="1" applyFill="1" applyBorder="1" applyAlignment="1">
      <x:alignment vertical="center" wrapText="1"/>
    </x:xf>
    <x:xf numFmtId="204" fontId="0" fillId="9" borderId="0" xfId="0" applyNumberFormat="1" applyFont="1" applyFill="1" applyBorder="1" applyAlignment="1">
      <x:alignment vertical="center" wrapText="1"/>
    </x:xf>
    <x:xf numFmtId="205" fontId="0" fillId="9" borderId="0" xfId="0" applyNumberFormat="1" applyFont="1" applyFill="1" applyBorder="1" applyAlignment="1">
      <x:alignment vertical="center" wrapText="1"/>
    </x:xf>
    <x:xf numFmtId="201" fontId="0" fillId="8" borderId="1" xfId="0" applyNumberFormat="1" applyFont="1" applyFill="1" applyBorder="1" applyAlignment="1">
      <x:alignment vertical="center" wrapText="1"/>
    </x:xf>
    <x:xf numFmtId="204" fontId="0" fillId="9" borderId="1" xfId="0" applyNumberFormat="1" applyFont="1" applyFill="1" applyBorder="1" applyAlignment="1">
      <x:alignment vertical="center" wrapText="1"/>
    </x:xf>
    <x:xf numFmtId="205" fontId="0" fillId="9" borderId="1" xfId="0" applyNumberFormat="1" applyFont="1" applyFill="1" applyBorder="1" applyAlignment="1">
      <x:alignment vertical="center" wrapText="1"/>
    </x:xf>
    <x:xf numFmtId="202" fontId="0" fillId="9" borderId="0" xfId="0" applyNumberFormat="1" applyFont="1" applyFill="1" applyBorder="1" applyAlignment="1">
      <x:alignment vertical="center" wrapText="1"/>
    </x:xf>
    <x:xf numFmtId="202" fontId="0" fillId="9" borderId="1" xfId="0" applyNumberFormat="1" applyFont="1" applyFill="1" applyBorder="1" applyAlignment="1">
      <x:alignment vertical="center" wrapText="1"/>
    </x:xf>
    <x:xf numFmtId="0" fontId="5" fillId="3" borderId="0" xfId="0" applyNumberFormat="1" applyFont="1" applyFill="1" applyBorder="1" applyAlignment="1">
      <x:alignment horizontal="center" vertical="center" wrapText="1"/>
    </x:xf>
    <x:xf numFmtId="206" fontId="6" fillId="0" borderId="0" xfId="0" applyNumberFormat="1" applyFont="1" applyFill="1" applyBorder="1" applyAlignment="1">
      <x:alignment vertical="center"/>
    </x:xf>
    <x:xf numFmtId="207" fontId="0" fillId="0" borderId="0" xfId="0" applyNumberFormat="1" applyFont="1" applyFill="1" applyBorder="1" applyAlignment="1">
      <x:alignment vertical="center" wrapText="1"/>
    </x:xf>
    <x:xf numFmtId="205" fontId="0" fillId="0" borderId="0" xfId="0" applyNumberFormat="1" applyFont="1" applyFill="1" applyBorder="1" applyAlignment="1">
      <x:alignment vertical="center" wrapText="1"/>
    </x:xf>
    <x:xf numFmtId="203" fontId="0" fillId="0" borderId="0" xfId="0" applyNumberFormat="1" applyFont="1" applyFill="1" applyBorder="1" applyAlignment="1">
      <x:alignment vertical="center"/>
    </x:xf>
    <x:xf numFmtId="0" fontId="5" fillId="3" borderId="1" xfId="0" applyNumberFormat="1" applyFont="1" applyFill="1" applyBorder="1" applyAlignment="1">
      <x:alignment horizontal="center" vertical="center" wrapText="1"/>
    </x:xf>
    <x:xf numFmtId="206" fontId="6" fillId="0" borderId="1" xfId="0" applyNumberFormat="1" applyFont="1" applyFill="1" applyBorder="1" applyAlignment="1">
      <x:alignment vertical="center"/>
    </x:xf>
    <x:xf numFmtId="207" fontId="0" fillId="0" borderId="1" xfId="0" applyNumberFormat="1" applyFont="1" applyFill="1" applyBorder="1" applyAlignment="1">
      <x:alignment vertical="center" wrapText="1"/>
    </x:xf>
    <x:xf numFmtId="205" fontId="0" fillId="0" borderId="1" xfId="0" applyNumberFormat="1" applyFont="1" applyFill="1" applyBorder="1" applyAlignment="1">
      <x:alignment vertical="center" wrapText="1"/>
    </x:xf>
    <x:xf numFmtId="203" fontId="0" fillId="0" borderId="1" xfId="0" applyNumberFormat="1" applyFont="1" applyFill="1" applyBorder="1" applyAlignment="1">
      <x:alignment vertical="center"/>
    </x:xf>
    <x:xf numFmtId="0" fontId="8"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c813c211424519" /><Relationship Type="http://schemas.openxmlformats.org/officeDocument/2006/relationships/theme" Target="/xl/theme/theme1.xml" Id="Rbbdda1b8b8c24340" /><Relationship Type="http://schemas.openxmlformats.org/officeDocument/2006/relationships/sharedStrings" Target="/xl/sharedStrings.xml" Id="Rd34b1e495d994298" /><Relationship Type="http://schemas.openxmlformats.org/officeDocument/2006/relationships/worksheet" Target="/xl/worksheets/sheet1.xml" Id="R5a07b5b3d525439f" /><Relationship Type="http://schemas.openxmlformats.org/officeDocument/2006/relationships/worksheet" Target="/xl/worksheets/sheet2.xml" Id="R2ccb29df20dd4aa0" /><Relationship Type="http://schemas.openxmlformats.org/officeDocument/2006/relationships/worksheet" Target="/xl/worksheets/sheet3.xml" Id="Red306597b3064fb1" /><Relationship Type="http://schemas.openxmlformats.org/officeDocument/2006/relationships/worksheet" Target="/xl/worksheets/sheet4.xml" Id="R2d736e2171cd4ed9" /><Relationship Type="http://schemas.openxmlformats.org/officeDocument/2006/relationships/worksheet" Target="/xl/worksheets/sheet5.xml" Id="Rb98828af7487426e" /><Relationship Type="http://schemas.openxmlformats.org/officeDocument/2006/relationships/worksheet" Target="/xl/worksheets/sheet6.xml" Id="Ra458b12d4fc3410f" /><Relationship Type="http://schemas.openxmlformats.org/officeDocument/2006/relationships/worksheet" Target="/xl/worksheets/sheet7.xml" Id="Rc3281feca8464e1c" /><Relationship Type="http://schemas.openxmlformats.org/officeDocument/2006/relationships/worksheet" Target="/xl/worksheets/sheet8.xml" Id="R2da901c0ce754fa4" /><Relationship Type="http://schemas.openxmlformats.org/officeDocument/2006/relationships/worksheet" Target="/xl/worksheets/sheet9.xml" Id="R481f10c913e54cdc" /></Relationships>
</file>

<file path=xl/drawings/_rels/drawing1.xml.rels>&#65279;<?xml version="1.0" encoding="utf-8"?><Relationships xmlns="http://schemas.openxmlformats.org/package/2006/relationships"><Relationship Type="http://schemas.openxmlformats.org/officeDocument/2006/relationships/chart" Target="/xl/drawings/charts/chart1.xml" Id="R751f36d89243443c" /><Relationship Type="http://schemas.openxmlformats.org/officeDocument/2006/relationships/chart" Target="/xl/drawings/charts/chart2.xml" Id="Rb620c9add8074dc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Operational CO₂e by strategy</a:t>
            </a:r>
          </a:p>
        </c:rich>
      </c:tx>
      <c:overlay val="0"/>
    </c:title>
    <c:autoTitleDeleted val="0"/>
    <c:plotArea>
      <c:layout/>
      <c:barChart>
        <c:barDir val="col"/>
        <c:grouping val="clustered"/>
        <c:varyColors val="0"/>
        <c:ser>
          <c:idx val="0"/>
          <c:order val="0"/>
          <c:tx>
            <c:v>Operational CO₂e (kg)</c:v>
          </c:tx>
          <c:cat>
            <c:strRef>
              <c:f>'Dashboard_Preview'!$A$14:$A$17</c:f>
              <c:strCache>
                <c:ptCount val="0"/>
              </c:strCache>
            </c:strRef>
          </c:cat>
          <c:val>
            <c:numRef>
              <c:f>'Dashboard_Preview'!$B$14:$B$17</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Indicative total cost by strategy</a:t>
            </a:r>
          </a:p>
        </c:rich>
      </c:tx>
      <c:overlay val="0"/>
    </c:title>
    <c:autoTitleDeleted val="0"/>
    <c:plotArea>
      <c:layout/>
      <c:barChart>
        <c:barDir val="col"/>
        <c:grouping val="clustered"/>
        <c:varyColors val="0"/>
        <c:ser>
          <c:idx val="0"/>
          <c:order val="0"/>
          <c:tx>
            <c:v>Total cost (£)</c:v>
          </c:tx>
          <c:cat>
            <c:strRef>
              <c:f>'Dashboard_Preview'!$A$21:$A$24</c:f>
              <c:strCache>
                <c:ptCount val="0"/>
              </c:strCache>
            </c:strRef>
          </c:cat>
          <c:val>
            <c:numRef>
              <c:f>'Dashboard_Preview'!$B$21:$B$24</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12</xdr:row>
      <xdr:rowOff>0</xdr:rowOff>
    </xdr:from>
    <xdr:to>
      <xdr:col>14</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51f36d89243443c"/>
        </a:graphicData>
      </a:graphic>
    </xdr:graphicFrame>
    <xdr:clientData/>
  </xdr:twoCellAnchor>
  <xdr:twoCellAnchor>
    <xdr:from>
      <xdr:col>7</xdr:col>
      <xdr:colOff>0</xdr:colOff>
      <xdr:row>26</xdr:row>
      <xdr:rowOff>0</xdr:rowOff>
    </xdr:from>
    <xdr:to>
      <xdr:col>14</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620c9add8074dc0"/>
        </a:graphicData>
      </a:graphic>
    </xdr:graphicFrame>
    <xdr:clientData/>
  </xdr:twoCellAnchor>
</xdr:wsDr>
</file>

<file path=xl/tables/table1.xml><?xml version="1.0" encoding="utf-8"?>
<x:table xmlns:x="http://schemas.openxmlformats.org/spreadsheetml/2006/main" id="1" name="ScenarioPresetsTable" displayName="ScenarioPresetsTable" ref="A4:N8" headerRowCount="1">
  <x:tableColumns count="14">
    <x:tableColumn id="1" name="Context_ID"/>
    <x:tableColumn id="2" name="Site_Context"/>
    <x:tableColumn id="3" name="Working_Days"/>
    <x:tableColumn id="4" name="Shift_Hours"/>
    <x:tableColumn id="5" name="Idle_Percent"/>
    <x:tableColumn id="6" name="Temporary_Power_kWh_per_day"/>
    <x:tableColumn id="7" name="Grid_Availability"/>
    <x:tableColumn id="8" name="Grid_Carbon_kgCO2e_per_kWh"/>
    <x:tableColumn id="9" name="Diesel_Price_GBP_per_L"/>
    <x:tableColumn id="10" name="Electricity_Price_GBP_per_kWh"/>
    <x:tableColumn id="11" name="Noise_Sensitivity"/>
    <x:tableColumn id="12" name="Community_Sensitivity"/>
    <x:tableColumn id="13" name="Data_Quality"/>
    <x:tableColumn id="14" name="Context_Note"/>
  </x:tableColumns>
  <x:tableStyleInfo name="TableStyleMedium2" showRowStripes="1"/>
</x:table>
</file>

<file path=xl/tables/table2.xml><?xml version="1.0" encoding="utf-8"?>
<x:table xmlns:x="http://schemas.openxmlformats.org/spreadsheetml/2006/main" id="2" name="StrategyAssumptionsTable" displayName="StrategyAssumptionsTable" ref="A4:V8" headerRowCount="1">
  <x:tableColumns count="22">
    <x:tableColumn id="1" name="Strategy_ID"/>
    <x:tableColumn id="2" name="Strategy"/>
    <x:tableColumn id="3" name="Plant_Powertrain"/>
    <x:tableColumn id="4" name="Plant_Diesel_L_per_active_h"/>
    <x:tableColumn id="5" name="Plant_Electricity_kWh_per_active_h"/>
    <x:tableColumn id="6" name="Idle_Energy_Fraction"/>
    <x:tableColumn id="7" name="Temporary_Power_Type"/>
    <x:tableColumn id="8" name="Generator_Diesel_L_per_kWh"/>
    <x:tableColumn id="9" name="Charging_Loss_Percent"/>
    <x:tableColumn id="10" name="Smart_Grid_CI_Multiplier"/>
    <x:tableColumn id="11" name="Battery_Storage_Loss_Percent"/>
    <x:tableColumn id="12" name="Plant_Hire_GBP_per_day"/>
    <x:tableColumn id="13" name="Power_System_GBP_per_day"/>
    <x:tableColumn id="14" name="Productivity_Index"/>
    <x:tableColumn id="15" name="Expected_Downtime_h_per_day"/>
    <x:tableColumn id="16" name="Exhaust_NOx_Index"/>
    <x:tableColumn id="17" name="Exhaust_PM_Index"/>
    <x:tableColumn id="18" name="Noise_Index"/>
    <x:tableColumn id="19" name="Data_Quality"/>
    <x:tableColumn id="20" name="Calculation_Use"/>
    <x:tableColumn id="21" name="Teaching_Note"/>
    <x:tableColumn id="22" name="Key_Risk"/>
  </x:tableColumns>
  <x:tableStyleInfo name="TableStyleMedium2" showRowStripes="1"/>
</x:table>
</file>

<file path=xl/tables/table3.xml><?xml version="1.0" encoding="utf-8"?>
<x:table xmlns:x="http://schemas.openxmlformats.org/spreadsheetml/2006/main" id="3" name="EmissionFactorsTable" displayName="EmissionFactorsTable" ref="A4:H9" headerRowCount="1">
  <x:tableColumns count="8">
    <x:tableColumn id="1" name="Factor_ID"/>
    <x:tableColumn id="2" name="Factor_Name"/>
    <x:tableColumn id="3" name="Value"/>
    <x:tableColumn id="4" name="Unit"/>
    <x:tableColumn id="5" name="Boundary"/>
    <x:tableColumn id="6" name="Data_Quality"/>
    <x:tableColumn id="7" name="Primary_Source_URL"/>
    <x:tableColumn id="8" name="Verification_Note"/>
  </x:tableColumns>
  <x:tableStyleInfo name="TableStyleMedium2" showRowStripes="1"/>
</x:table>
</file>

<file path=xl/tables/table4.xml><?xml version="1.0" encoding="utf-8"?>
<x:table xmlns:x="http://schemas.openxmlformats.org/spreadsheetml/2006/main" id="4" name="PlantSpecsTable" displayName="PlantSpecsTable" ref="A4:H10" headerRowCount="1">
  <x:tableColumns count="8">
    <x:tableColumn id="1" name="Spec_ID"/>
    <x:tableColumn id="2" name="Machine_or_Input"/>
    <x:tableColumn id="3" name="Value"/>
    <x:tableColumn id="4" name="Unit"/>
    <x:tableColumn id="5" name="Data_Quality"/>
    <x:tableColumn id="6" name="Source_URL"/>
    <x:tableColumn id="7" name="Use_in_Model"/>
    <x:tableColumn id="8" name="Note"/>
  </x:tableColumns>
  <x:tableStyleInfo name="TableStyleMedium2" showRowStripes="1"/>
</x:table>
</file>

<file path=xl/tables/table5.xml><?xml version="1.0" encoding="utf-8"?>
<x:table xmlns:x="http://schemas.openxmlformats.org/spreadsheetml/2006/main" id="5" name="ModelTable" displayName="ModelTable" ref="A4:AT20" headerRowCount="1">
  <x:tableColumns count="46">
    <x:tableColumn id="1" name="Context_ID"/>
    <x:tableColumn id="2" name="Site_Context"/>
    <x:tableColumn id="3" name="Strategy_ID"/>
    <x:tableColumn id="4" name="Strategy"/>
    <x:tableColumn id="5" name="Working_Days"/>
    <x:tableColumn id="6" name="Shift_Hours"/>
    <x:tableColumn id="7" name="Idle_Percent"/>
    <x:tableColumn id="8" name="Temporary_Power_kWh_per_day"/>
    <x:tableColumn id="9" name="Grid_Availability"/>
    <x:tableColumn id="10" name="Grid_Carbon_kgCO2e_per_kWh"/>
    <x:tableColumn id="11" name="Diesel_Price_GBP_per_L"/>
    <x:tableColumn id="12" name="Electricity_Price_GBP_per_kWh"/>
    <x:tableColumn id="13" name="Noise_Sensitivity"/>
    <x:tableColumn id="14" name="Community_Sensitivity"/>
    <x:tableColumn id="15" name="Plant_Diesel_L_per_active_h"/>
    <x:tableColumn id="16" name="Plant_Electricity_kWh_per_active_h"/>
    <x:tableColumn id="17" name="Idle_Energy_Fraction"/>
    <x:tableColumn id="18" name="Generator_Diesel_L_per_kWh"/>
    <x:tableColumn id="19" name="Charging_Loss_Percent"/>
    <x:tableColumn id="20" name="Smart_Grid_CI_Multiplier"/>
    <x:tableColumn id="21" name="Battery_Storage_Loss_Percent"/>
    <x:tableColumn id="22" name="Plant_Hire_GBP_per_day"/>
    <x:tableColumn id="23" name="Power_System_GBP_per_day"/>
    <x:tableColumn id="24" name="Productivity_Index"/>
    <x:tableColumn id="25" name="Expected_Downtime_h_per_day"/>
    <x:tableColumn id="26" name="Exhaust_NOx_Index"/>
    <x:tableColumn id="27" name="Exhaust_PM_Index"/>
    <x:tableColumn id="28" name="Noise_Index"/>
    <x:tableColumn id="29" name="Active_Hours_Total"/>
    <x:tableColumn id="30" name="Idle_Hours_Total"/>
    <x:tableColumn id="31" name="Plant_Diesel_L"/>
    <x:tableColumn id="32" name="Temporary_Power_Diesel_L"/>
    <x:tableColumn id="33" name="Grid_Electricity_kWh"/>
    <x:tableColumn id="34" name="Effective_Grid_Carbon_kgCO2e_per_kWh"/>
    <x:tableColumn id="35" name="Operational_CO2e_kg"/>
    <x:tableColumn id="36" name="Expanded_Energy_CO2e_kg"/>
    <x:tableColumn id="37" name="Energy_Cost_GBP"/>
    <x:tableColumn id="38" name="Hire_and_Power_Cost_GBP"/>
    <x:tableColumn id="39" name="Total_Cost_GBP"/>
    <x:tableColumn id="40" name="Carbon_Reduction_vs_Baseline"/>
    <x:tableColumn id="41" name="Daily_Plant_Electricity_kWh"/>
    <x:tableColumn id="42" name="Battery_Charges_per_Day"/>
    <x:tableColumn id="43" name="Air_Quality_Benefit_Index"/>
    <x:tableColumn id="44" name="Noise_Benefit_Index"/>
    <x:tableColumn id="45" name="Data_Quality_Note"/>
    <x:tableColumn id="46" name="Scenario_Note"/>
  </x:tableColumns>
  <x:tableStyleInfo name="TableStyleMedium2" showRowStripes="1"/>
</x:table>
</file>

<file path=xl/tables/table6.xml><?xml version="1.0" encoding="utf-8"?>
<x:table xmlns:x="http://schemas.openxmlformats.org/spreadsheetml/2006/main" id="6" name="TableauWideTable" displayName="TableauWideTable" ref="A4:AG20" headerRowCount="1">
  <x:tableColumns count="33">
    <x:tableColumn id="1" name="Context_ID"/>
    <x:tableColumn id="2" name="Site_Context"/>
    <x:tableColumn id="3" name="Strategy_ID"/>
    <x:tableColumn id="4" name="Strategy"/>
    <x:tableColumn id="5" name="Working_Days"/>
    <x:tableColumn id="6" name="Shift_Hours"/>
    <x:tableColumn id="7" name="Idle_Percent"/>
    <x:tableColumn id="8" name="Grid_Availability"/>
    <x:tableColumn id="9" name="Grid_Carbon_kgCO2e_per_kWh"/>
    <x:tableColumn id="10" name="Diesel_Price_GBP_per_L"/>
    <x:tableColumn id="11" name="Electricity_Price_GBP_per_kWh"/>
    <x:tableColumn id="12" name="Noise_Sensitivity"/>
    <x:tableColumn id="13" name="Community_Sensitivity"/>
    <x:tableColumn id="14" name="Plant_Diesel_L"/>
    <x:tableColumn id="15" name="Temporary_Power_Diesel_L"/>
    <x:tableColumn id="16" name="Grid_Electricity_kWh"/>
    <x:tableColumn id="17" name="Operational_CO2e_kg"/>
    <x:tableColumn id="18" name="Expanded_Energy_CO2e_kg"/>
    <x:tableColumn id="19" name="Carbon_Reduction_vs_Baseline"/>
    <x:tableColumn id="20" name="Energy_Cost_GBP"/>
    <x:tableColumn id="21" name="Hire_and_Power_Cost_GBP"/>
    <x:tableColumn id="22" name="Total_Cost_GBP"/>
    <x:tableColumn id="23" name="Productivity_Index"/>
    <x:tableColumn id="24" name="Expected_Downtime_h_per_day"/>
    <x:tableColumn id="25" name="Exhaust_NOx_Index"/>
    <x:tableColumn id="26" name="Exhaust_PM_Index"/>
    <x:tableColumn id="27" name="Noise_Index"/>
    <x:tableColumn id="28" name="Air_Quality_Benefit_Index"/>
    <x:tableColumn id="29" name="Noise_Benefit_Index"/>
    <x:tableColumn id="30" name="Daily_Plant_Electricity_kWh"/>
    <x:tableColumn id="31" name="Battery_Charges_per_Day"/>
    <x:tableColumn id="32" name="Data_Quality_Note"/>
    <x:tableColumn id="33" name="Scenario_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2cb91bbd2b4480f" /></Relationships>
</file>

<file path=xl/worksheets/_rels/sheet3.xml.rels>&#65279;<?xml version="1.0" encoding="utf-8"?><Relationships xmlns="http://schemas.openxmlformats.org/package/2006/relationships"><Relationship Type="http://schemas.openxmlformats.org/officeDocument/2006/relationships/table" Target="/xl/tables/table2.xml" Id="R35bd8da24cf342c2" /></Relationships>
</file>

<file path=xl/worksheets/_rels/sheet4.xml.rels>&#65279;<?xml version="1.0" encoding="utf-8"?><Relationships xmlns="http://schemas.openxmlformats.org/package/2006/relationships"><Relationship Type="http://schemas.openxmlformats.org/officeDocument/2006/relationships/table" Target="/xl/tables/table3.xml" Id="R5ab6e5211e154c71" /></Relationships>
</file>

<file path=xl/worksheets/_rels/sheet5.xml.rels>&#65279;<?xml version="1.0" encoding="utf-8"?><Relationships xmlns="http://schemas.openxmlformats.org/package/2006/relationships"><Relationship Type="http://schemas.openxmlformats.org/officeDocument/2006/relationships/table" Target="/xl/tables/table4.xml" Id="Ra9c59723a62d4ba5" /></Relationships>
</file>

<file path=xl/worksheets/_rels/sheet6.xml.rels>&#65279;<?xml version="1.0" encoding="utf-8"?><Relationships xmlns="http://schemas.openxmlformats.org/package/2006/relationships"><Relationship Type="http://schemas.openxmlformats.org/officeDocument/2006/relationships/table" Target="/xl/tables/table5.xml" Id="R095cdba6376240cb" /></Relationships>
</file>

<file path=xl/worksheets/_rels/sheet7.xml.rels>&#65279;<?xml version="1.0" encoding="utf-8"?><Relationships xmlns="http://schemas.openxmlformats.org/package/2006/relationships"><Relationship Type="http://schemas.openxmlformats.org/officeDocument/2006/relationships/table" Target="/xl/tables/table6.xml" Id="R3cddf32a0f334d78" /></Relationships>
</file>

<file path=xl/worksheets/_rels/sheet8.xml.rels>&#65279;<?xml version="1.0" encoding="utf-8"?><Relationships xmlns="http://schemas.openxmlformats.org/package/2006/relationships"><Relationship Type="http://schemas.openxmlformats.org/officeDocument/2006/relationships/drawing" Target="/xl/drawings/drawing1.xml" Id="R12417b8a862043fa" /></Relationships>
</file>

<file path=xl/worksheets/sheet1.xml><?xml version="1.0" encoding="utf-8"?>
<x:worksheet xmlns:x="http://schemas.openxmlformats.org/spreadsheetml/2006/main">
  <x:sheetFormatPr defaultRowHeight="15"/>
  <x:cols>
    <x:col min="1" max="1" width="24" hidden="0" customWidth="1"/>
    <x:col min="2" max="2" width="58" hidden="0" customWidth="1"/>
    <x:col min="4" max="4" width="22" hidden="0" customWidth="1"/>
    <x:col min="5" max="5" width="22" hidden="0" customWidth="1"/>
    <x:col min="6" max="6" width="22" hidden="0" customWidth="1"/>
  </x:cols>
  <x:sheetData>
    <x:row r="1">
      <x:c r="A1" s="5" t="str">
        <x:v>Planning a Low-Carbon Construction Site</x:v>
      </x:c>
      <x:c r="B1" s="5"/>
      <x:c r="C1" s="5"/>
      <x:c r="D1" s="5"/>
      <x:c r="E1" s="5"/>
      <x:c r="F1" s="5"/>
      <x:c r="G1" s="5"/>
      <x:c r="H1" s="5"/>
      <x:c r="I1" s="130"/>
      <x:c r="J1" s="130"/>
      <x:c r="K1" s="130"/>
      <x:c r="L1" s="130"/>
      <x:c r="M1" s="130"/>
      <x:c r="N1" s="130"/>
      <x:c r="O1" s="130"/>
      <x:c r="P1" s="130"/>
      <x:c r="Q1" s="130"/>
      <x:c r="R1" s="130"/>
      <x:c r="S1" s="130"/>
      <x:c r="T1" s="130"/>
      <x:c r="U1" s="130"/>
      <x:c r="V1" s="130"/>
      <x:c r="W1" s="130"/>
      <x:c r="X1" s="130"/>
      <x:c r="Y1" s="130"/>
      <x:c r="Z1" s="130"/>
      <x:c r="AA1" s="130"/>
      <x:c r="AB1" s="130"/>
      <x:c r="AC1" s="130"/>
      <x:c r="AD1" s="130"/>
      <x:c r="AE1" s="130"/>
      <x:c r="AF1" s="130"/>
      <x:c r="AG1" s="130"/>
      <x:c r="AH1" s="130"/>
      <x:c r="AI1" s="130"/>
      <x:c r="AJ1" s="130"/>
      <x:c r="AK1" s="130"/>
      <x:c r="AL1" s="130"/>
      <x:c r="AM1" s="130"/>
      <x:c r="AN1" s="130"/>
      <x:c r="AO1" s="130"/>
      <x:c r="AP1" s="130"/>
      <x:c r="AQ1" s="130"/>
      <x:c r="AR1" s="130"/>
      <x:c r="AS1" s="130"/>
      <x:c r="AT1" s="130"/>
      <x:c r="AU1" s="130"/>
      <x:c r="AV1" s="130"/>
      <x:c r="AW1" s="130"/>
      <x:c r="AX1" s="130"/>
      <x:c r="AY1" s="130"/>
      <x:c r="AZ1" s="130"/>
    </x:row>
    <x:row r="2">
      <x:c r="A2" s="5"/>
      <x:c r="B2" s="5"/>
      <x:c r="C2" s="5"/>
      <x:c r="D2" s="5"/>
      <x:c r="E2" s="5"/>
      <x:c r="F2" s="5"/>
      <x:c r="G2" s="5"/>
      <x:c r="H2" s="5"/>
      <x:c r="I2" s="130"/>
      <x:c r="J2" s="130"/>
      <x:c r="K2" s="130"/>
      <x:c r="L2" s="130"/>
      <x:c r="M2" s="130"/>
      <x:c r="N2" s="130"/>
      <x:c r="O2" s="130"/>
      <x:c r="P2" s="130"/>
      <x:c r="Q2" s="130"/>
      <x:c r="R2" s="130"/>
      <x:c r="S2" s="130"/>
      <x:c r="T2" s="130"/>
      <x:c r="U2" s="130"/>
      <x:c r="V2" s="130"/>
      <x:c r="W2" s="130"/>
      <x:c r="X2" s="130"/>
      <x:c r="Y2" s="130"/>
      <x:c r="Z2" s="130"/>
      <x:c r="AA2" s="130"/>
      <x:c r="AB2" s="130"/>
      <x:c r="AC2" s="130"/>
      <x:c r="AD2" s="130"/>
      <x:c r="AE2" s="130"/>
      <x:c r="AF2" s="130"/>
      <x:c r="AG2" s="130"/>
      <x:c r="AH2" s="130"/>
      <x:c r="AI2" s="130"/>
      <x:c r="AJ2" s="130"/>
      <x:c r="AK2" s="130"/>
      <x:c r="AL2" s="130"/>
      <x:c r="AM2" s="130"/>
      <x:c r="AN2" s="130"/>
      <x:c r="AO2" s="130"/>
      <x:c r="AP2" s="130"/>
      <x:c r="AQ2" s="130"/>
      <x:c r="AR2" s="130"/>
      <x:c r="AS2" s="130"/>
      <x:c r="AT2" s="130"/>
      <x:c r="AU2" s="130"/>
      <x:c r="AV2" s="130"/>
      <x:c r="AW2" s="130"/>
      <x:c r="AX2" s="130"/>
      <x:c r="AY2" s="130"/>
      <x:c r="AZ2" s="130"/>
    </x:row>
    <x:row r="3">
      <x:c r="A3" s="12" t="str">
        <x:v>Tableau teaching prototype: electric plant, smart temporary power and cleaner-air co-benefits</x:v>
      </x:c>
      <x:c r="B3" s="12"/>
      <x:c r="C3" s="12"/>
      <x:c r="D3" s="12"/>
      <x:c r="E3" s="12"/>
      <x:c r="F3" s="12"/>
      <x:c r="G3" s="12"/>
      <x:c r="H3" s="12"/>
      <x:c r="I3" s="130"/>
      <x:c r="J3" s="130"/>
      <x:c r="K3" s="130"/>
      <x:c r="L3" s="130"/>
      <x:c r="M3" s="130"/>
      <x:c r="N3" s="130"/>
      <x:c r="O3" s="130"/>
      <x:c r="P3" s="130"/>
      <x:c r="Q3" s="130"/>
      <x:c r="R3" s="130"/>
      <x:c r="S3" s="130"/>
      <x:c r="T3" s="130"/>
      <x:c r="U3" s="130"/>
      <x:c r="V3" s="130"/>
      <x:c r="W3" s="130"/>
      <x:c r="X3" s="130"/>
      <x:c r="Y3" s="130"/>
      <x:c r="Z3" s="130"/>
      <x:c r="AA3" s="130"/>
      <x:c r="AB3" s="130"/>
      <x:c r="AC3" s="130"/>
      <x:c r="AD3" s="130"/>
      <x:c r="AE3" s="130"/>
      <x:c r="AF3" s="130"/>
      <x:c r="AG3" s="130"/>
      <x:c r="AH3" s="130"/>
      <x:c r="AI3" s="130"/>
      <x:c r="AJ3" s="130"/>
      <x:c r="AK3" s="130"/>
      <x:c r="AL3" s="130"/>
      <x:c r="AM3" s="130"/>
      <x:c r="AN3" s="130"/>
      <x:c r="AO3" s="130"/>
      <x:c r="AP3" s="130"/>
      <x:c r="AQ3" s="130"/>
      <x:c r="AR3" s="130"/>
      <x:c r="AS3" s="130"/>
      <x:c r="AT3" s="130"/>
      <x:c r="AU3" s="130"/>
      <x:c r="AV3" s="130"/>
      <x:c r="AW3" s="130"/>
      <x:c r="AX3" s="130"/>
      <x:c r="AY3" s="130"/>
      <x:c r="AZ3" s="130"/>
    </x:row>
    <x:row r="4">
      <x:c r="A4" s="130"/>
      <x:c r="B4" s="130"/>
      <x:c r="C4" s="130"/>
      <x:c r="D4" s="130"/>
      <x:c r="E4" s="130"/>
      <x:c r="F4" s="130"/>
      <x:c r="G4" s="130"/>
      <x:c r="H4" s="130"/>
      <x:c r="I4" s="130"/>
      <x:c r="J4" s="130"/>
      <x:c r="K4" s="130"/>
      <x:c r="L4" s="130"/>
      <x:c r="M4" s="130"/>
      <x:c r="N4" s="130"/>
      <x:c r="O4" s="130"/>
      <x:c r="P4" s="130"/>
      <x:c r="Q4" s="130"/>
      <x:c r="R4" s="130"/>
      <x:c r="S4" s="130"/>
      <x:c r="T4" s="130"/>
      <x:c r="U4" s="130"/>
      <x:c r="V4" s="130"/>
      <x:c r="W4" s="130"/>
      <x:c r="X4" s="130"/>
      <x:c r="Y4" s="130"/>
      <x:c r="Z4" s="130"/>
      <x:c r="AA4" s="130"/>
      <x:c r="AB4" s="130"/>
      <x:c r="AC4" s="130"/>
      <x:c r="AD4" s="130"/>
      <x:c r="AE4" s="130"/>
      <x:c r="AF4" s="130"/>
      <x:c r="AG4" s="130"/>
      <x:c r="AH4" s="130"/>
      <x:c r="AI4" s="130"/>
      <x:c r="AJ4" s="130"/>
      <x:c r="AK4" s="130"/>
      <x:c r="AL4" s="130"/>
      <x:c r="AM4" s="130"/>
      <x:c r="AN4" s="130"/>
      <x:c r="AO4" s="130"/>
      <x:c r="AP4" s="130"/>
      <x:c r="AQ4" s="130"/>
      <x:c r="AR4" s="130"/>
      <x:c r="AS4" s="130"/>
      <x:c r="AT4" s="130"/>
      <x:c r="AU4" s="130"/>
      <x:c r="AV4" s="130"/>
      <x:c r="AW4" s="130"/>
      <x:c r="AX4" s="130"/>
      <x:c r="AY4" s="130"/>
      <x:c r="AZ4" s="130"/>
    </x:row>
    <x:row r="5">
      <x:c r="A5" s="19" t="str">
        <x:v>Purpose</x:v>
      </x:c>
      <x:c r="B5" s="19"/>
      <x:c r="C5" s="19"/>
      <x:c r="D5" s="19"/>
      <x:c r="E5" s="19"/>
      <x:c r="F5" s="19"/>
      <x:c r="G5" s="19"/>
      <x:c r="H5" s="19"/>
      <x:c r="I5" s="130"/>
      <x:c r="J5" s="130"/>
      <x:c r="K5" s="130"/>
      <x:c r="L5" s="130"/>
      <x:c r="M5" s="130"/>
      <x:c r="N5" s="130"/>
      <x:c r="O5" s="130"/>
      <x:c r="P5" s="130"/>
      <x:c r="Q5" s="130"/>
      <x:c r="R5" s="130"/>
      <x:c r="S5" s="130"/>
      <x:c r="T5" s="130"/>
      <x:c r="U5" s="130"/>
      <x:c r="V5" s="130"/>
      <x:c r="W5" s="130"/>
      <x:c r="X5" s="130"/>
      <x:c r="Y5" s="130"/>
      <x:c r="Z5" s="130"/>
      <x:c r="AA5" s="130"/>
      <x:c r="AB5" s="130"/>
      <x:c r="AC5" s="130"/>
      <x:c r="AD5" s="130"/>
      <x:c r="AE5" s="130"/>
      <x:c r="AF5" s="130"/>
      <x:c r="AG5" s="130"/>
      <x:c r="AH5" s="130"/>
      <x:c r="AI5" s="130"/>
      <x:c r="AJ5" s="130"/>
      <x:c r="AK5" s="130"/>
      <x:c r="AL5" s="130"/>
      <x:c r="AM5" s="130"/>
      <x:c r="AN5" s="130"/>
      <x:c r="AO5" s="130"/>
      <x:c r="AP5" s="130"/>
      <x:c r="AQ5" s="130"/>
      <x:c r="AR5" s="130"/>
      <x:c r="AS5" s="130"/>
      <x:c r="AT5" s="130"/>
      <x:c r="AU5" s="130"/>
      <x:c r="AV5" s="130"/>
      <x:c r="AW5" s="130"/>
      <x:c r="AX5" s="130"/>
      <x:c r="AY5" s="130"/>
      <x:c r="AZ5" s="130"/>
    </x:row>
    <x:row r="6">
      <x:c r="A6" s="131" t="str">
        <x:v>This workbook is a transparent teaching model for Level 5 civil engineering apprentices. It compares four construction-site plant and temporary-power strategies across four site contexts. The model is designed to support discussion, sensitivity testing and professional judgement. It is not a certified life-cycle assessment or a commercial cost estimate.</x:v>
      </x:c>
      <x:c r="B6" s="131"/>
      <x:c r="C6" s="131"/>
      <x:c r="D6" s="131"/>
      <x:c r="E6" s="131"/>
      <x:c r="F6" s="131"/>
      <x:c r="G6" s="131"/>
      <x:c r="H6" s="131"/>
      <x:c r="I6" s="130"/>
      <x:c r="J6" s="130"/>
      <x:c r="K6" s="130"/>
      <x:c r="L6" s="130"/>
      <x:c r="M6" s="130"/>
      <x:c r="N6" s="130"/>
      <x:c r="O6" s="130"/>
      <x:c r="P6" s="130"/>
      <x:c r="Q6" s="130"/>
      <x:c r="R6" s="130"/>
      <x:c r="S6" s="130"/>
      <x:c r="T6" s="130"/>
      <x:c r="U6" s="130"/>
      <x:c r="V6" s="130"/>
      <x:c r="W6" s="130"/>
      <x:c r="X6" s="130"/>
      <x:c r="Y6" s="130"/>
      <x:c r="Z6" s="130"/>
      <x:c r="AA6" s="130"/>
      <x:c r="AB6" s="130"/>
      <x:c r="AC6" s="130"/>
      <x:c r="AD6" s="130"/>
      <x:c r="AE6" s="130"/>
      <x:c r="AF6" s="130"/>
      <x:c r="AG6" s="130"/>
      <x:c r="AH6" s="130"/>
      <x:c r="AI6" s="130"/>
      <x:c r="AJ6" s="130"/>
      <x:c r="AK6" s="130"/>
      <x:c r="AL6" s="130"/>
      <x:c r="AM6" s="130"/>
      <x:c r="AN6" s="130"/>
      <x:c r="AO6" s="130"/>
      <x:c r="AP6" s="130"/>
      <x:c r="AQ6" s="130"/>
      <x:c r="AR6" s="130"/>
      <x:c r="AS6" s="130"/>
      <x:c r="AT6" s="130"/>
      <x:c r="AU6" s="130"/>
      <x:c r="AV6" s="130"/>
      <x:c r="AW6" s="130"/>
      <x:c r="AX6" s="130"/>
      <x:c r="AY6" s="130"/>
      <x:c r="AZ6" s="130"/>
    </x:row>
    <x:row r="7">
      <x:c r="A7" s="131"/>
      <x:c r="B7" s="131"/>
      <x:c r="C7" s="131"/>
      <x:c r="D7" s="131"/>
      <x:c r="E7" s="131"/>
      <x:c r="F7" s="131"/>
      <x:c r="G7" s="131"/>
      <x:c r="H7" s="131"/>
      <x:c r="I7" s="130"/>
      <x:c r="J7" s="130"/>
      <x:c r="K7" s="130"/>
      <x:c r="L7" s="130"/>
      <x:c r="M7" s="130"/>
      <x:c r="N7" s="130"/>
      <x:c r="O7" s="130"/>
      <x:c r="P7" s="130"/>
      <x:c r="Q7" s="130"/>
      <x:c r="R7" s="130"/>
      <x:c r="S7" s="130"/>
      <x:c r="T7" s="130"/>
      <x:c r="U7" s="130"/>
      <x:c r="V7" s="130"/>
      <x:c r="W7" s="130"/>
      <x:c r="X7" s="130"/>
      <x:c r="Y7" s="130"/>
      <x:c r="Z7" s="130"/>
      <x:c r="AA7" s="130"/>
      <x:c r="AB7" s="130"/>
      <x:c r="AC7" s="130"/>
      <x:c r="AD7" s="130"/>
      <x:c r="AE7" s="130"/>
      <x:c r="AF7" s="130"/>
      <x:c r="AG7" s="130"/>
      <x:c r="AH7" s="130"/>
      <x:c r="AI7" s="130"/>
      <x:c r="AJ7" s="130"/>
      <x:c r="AK7" s="130"/>
      <x:c r="AL7" s="130"/>
      <x:c r="AM7" s="130"/>
      <x:c r="AN7" s="130"/>
      <x:c r="AO7" s="130"/>
      <x:c r="AP7" s="130"/>
      <x:c r="AQ7" s="130"/>
      <x:c r="AR7" s="130"/>
      <x:c r="AS7" s="130"/>
      <x:c r="AT7" s="130"/>
      <x:c r="AU7" s="130"/>
      <x:c r="AV7" s="130"/>
      <x:c r="AW7" s="130"/>
      <x:c r="AX7" s="130"/>
      <x:c r="AY7" s="130"/>
      <x:c r="AZ7" s="130"/>
    </x:row>
    <x:row r="8">
      <x:c r="A8" s="131"/>
      <x:c r="B8" s="131"/>
      <x:c r="C8" s="131"/>
      <x:c r="D8" s="131"/>
      <x:c r="E8" s="131"/>
      <x:c r="F8" s="131"/>
      <x:c r="G8" s="131"/>
      <x:c r="H8" s="131"/>
      <x:c r="I8" s="130"/>
      <x:c r="J8" s="130"/>
      <x:c r="K8" s="130"/>
      <x:c r="L8" s="130"/>
      <x:c r="M8" s="130"/>
      <x:c r="N8" s="130"/>
      <x:c r="O8" s="130"/>
      <x:c r="P8" s="130"/>
      <x:c r="Q8" s="130"/>
      <x:c r="R8" s="130"/>
      <x:c r="S8" s="130"/>
      <x:c r="T8" s="130"/>
      <x:c r="U8" s="130"/>
      <x:c r="V8" s="130"/>
      <x:c r="W8" s="130"/>
      <x:c r="X8" s="130"/>
      <x:c r="Y8" s="130"/>
      <x:c r="Z8" s="130"/>
      <x:c r="AA8" s="130"/>
      <x:c r="AB8" s="130"/>
      <x:c r="AC8" s="130"/>
      <x:c r="AD8" s="130"/>
      <x:c r="AE8" s="130"/>
      <x:c r="AF8" s="130"/>
      <x:c r="AG8" s="130"/>
      <x:c r="AH8" s="130"/>
      <x:c r="AI8" s="130"/>
      <x:c r="AJ8" s="130"/>
      <x:c r="AK8" s="130"/>
      <x:c r="AL8" s="130"/>
      <x:c r="AM8" s="130"/>
      <x:c r="AN8" s="130"/>
      <x:c r="AO8" s="130"/>
      <x:c r="AP8" s="130"/>
      <x:c r="AQ8" s="130"/>
      <x:c r="AR8" s="130"/>
      <x:c r="AS8" s="130"/>
      <x:c r="AT8" s="130"/>
      <x:c r="AU8" s="130"/>
      <x:c r="AV8" s="130"/>
      <x:c r="AW8" s="130"/>
      <x:c r="AX8" s="130"/>
      <x:c r="AY8" s="130"/>
      <x:c r="AZ8" s="130"/>
    </x:row>
    <x:row r="9">
      <x:c r="A9" s="130"/>
      <x:c r="B9" s="130"/>
      <x:c r="C9" s="130"/>
      <x:c r="D9" s="130"/>
      <x:c r="E9" s="130"/>
      <x:c r="F9" s="130"/>
      <x:c r="G9" s="130"/>
      <x:c r="H9" s="130"/>
      <x:c r="I9" s="130"/>
      <x:c r="J9" s="130"/>
      <x:c r="K9" s="130"/>
      <x:c r="L9" s="130"/>
      <x:c r="M9" s="130"/>
      <x:c r="N9" s="130"/>
      <x:c r="O9" s="130"/>
      <x:c r="P9" s="130"/>
      <x:c r="Q9" s="130"/>
      <x:c r="R9" s="130"/>
      <x:c r="S9" s="130"/>
      <x:c r="T9" s="130"/>
      <x:c r="U9" s="130"/>
      <x:c r="V9" s="130"/>
      <x:c r="W9" s="130"/>
      <x:c r="X9" s="130"/>
      <x:c r="Y9" s="130"/>
      <x:c r="Z9" s="130"/>
      <x:c r="AA9" s="130"/>
      <x:c r="AB9" s="130"/>
      <x:c r="AC9" s="130"/>
      <x:c r="AD9" s="130"/>
      <x:c r="AE9" s="130"/>
      <x:c r="AF9" s="130"/>
      <x:c r="AG9" s="130"/>
      <x:c r="AH9" s="130"/>
      <x:c r="AI9" s="130"/>
      <x:c r="AJ9" s="130"/>
      <x:c r="AK9" s="130"/>
      <x:c r="AL9" s="130"/>
      <x:c r="AM9" s="130"/>
      <x:c r="AN9" s="130"/>
      <x:c r="AO9" s="130"/>
      <x:c r="AP9" s="130"/>
      <x:c r="AQ9" s="130"/>
      <x:c r="AR9" s="130"/>
      <x:c r="AS9" s="130"/>
      <x:c r="AT9" s="130"/>
      <x:c r="AU9" s="130"/>
      <x:c r="AV9" s="130"/>
      <x:c r="AW9" s="130"/>
      <x:c r="AX9" s="130"/>
      <x:c r="AY9" s="130"/>
      <x:c r="AZ9" s="130"/>
    </x:row>
    <x:row r="10">
      <x:c r="A10" s="19" t="str">
        <x:v>Workbook structure</x:v>
      </x:c>
      <x:c r="B10" s="19"/>
      <x:c r="C10" s="19"/>
      <x:c r="D10" s="19" t="str">
        <x:v>Data-quality colour key</x:v>
      </x:c>
      <x:c r="E10" s="19"/>
      <x:c r="F10" s="19"/>
      <x:c r="G10" s="19"/>
      <x:c r="H10" s="19"/>
      <x:c r="I10" s="130"/>
      <x:c r="J10" s="130"/>
      <x:c r="K10" s="130"/>
      <x:c r="L10" s="130"/>
      <x:c r="M10" s="130"/>
      <x:c r="N10" s="130"/>
      <x:c r="O10" s="130"/>
      <x:c r="P10" s="130"/>
      <x:c r="Q10" s="130"/>
      <x:c r="R10" s="130"/>
      <x:c r="S10" s="130"/>
      <x:c r="T10" s="130"/>
      <x:c r="U10" s="130"/>
      <x:c r="V10" s="130"/>
      <x:c r="W10" s="130"/>
      <x:c r="X10" s="130"/>
      <x:c r="Y10" s="130"/>
      <x:c r="Z10" s="130"/>
      <x:c r="AA10" s="130"/>
      <x:c r="AB10" s="130"/>
      <x:c r="AC10" s="130"/>
      <x:c r="AD10" s="130"/>
      <x:c r="AE10" s="130"/>
      <x:c r="AF10" s="130"/>
      <x:c r="AG10" s="130"/>
      <x:c r="AH10" s="130"/>
      <x:c r="AI10" s="130"/>
      <x:c r="AJ10" s="130"/>
      <x:c r="AK10" s="130"/>
      <x:c r="AL10" s="130"/>
      <x:c r="AM10" s="130"/>
      <x:c r="AN10" s="130"/>
      <x:c r="AO10" s="130"/>
      <x:c r="AP10" s="130"/>
      <x:c r="AQ10" s="130"/>
      <x:c r="AR10" s="130"/>
      <x:c r="AS10" s="130"/>
      <x:c r="AT10" s="130"/>
      <x:c r="AU10" s="130"/>
      <x:c r="AV10" s="130"/>
      <x:c r="AW10" s="130"/>
      <x:c r="AX10" s="130"/>
      <x:c r="AY10" s="130"/>
      <x:c r="AZ10" s="130"/>
    </x:row>
    <x:row r="11">
      <x:c r="A11" s="32" t="str">
        <x:v>Sheet</x:v>
      </x:c>
      <x:c r="B11" s="32" t="str">
        <x:v>Purpose</x:v>
      </x:c>
      <x:c r="C11" s="130"/>
      <x:c r="D11" s="32" t="str">
        <x:v>Colour</x:v>
      </x:c>
      <x:c r="E11" s="32" t="str">
        <x:v>Meaning</x:v>
      </x:c>
      <x:c r="F11" s="32" t="str">
        <x:v>Examples</x:v>
      </x:c>
      <x:c r="G11" s="130"/>
      <x:c r="H11" s="130"/>
      <x:c r="I11" s="130"/>
      <x:c r="J11" s="130"/>
      <x:c r="K11" s="130"/>
      <x:c r="L11" s="130"/>
      <x:c r="M11" s="130"/>
      <x:c r="N11" s="130"/>
      <x:c r="O11" s="130"/>
      <x:c r="P11" s="130"/>
      <x:c r="Q11" s="130"/>
      <x:c r="R11" s="130"/>
      <x:c r="S11" s="130"/>
      <x:c r="T11" s="130"/>
      <x:c r="U11" s="130"/>
      <x:c r="V11" s="130"/>
      <x:c r="W11" s="130"/>
      <x:c r="X11" s="130"/>
      <x:c r="Y11" s="130"/>
      <x:c r="Z11" s="130"/>
      <x:c r="AA11" s="130"/>
      <x:c r="AB11" s="130"/>
      <x:c r="AC11" s="130"/>
      <x:c r="AD11" s="130"/>
      <x:c r="AE11" s="130"/>
      <x:c r="AF11" s="130"/>
      <x:c r="AG11" s="130"/>
      <x:c r="AH11" s="130"/>
      <x:c r="AI11" s="130"/>
      <x:c r="AJ11" s="130"/>
      <x:c r="AK11" s="130"/>
      <x:c r="AL11" s="130"/>
      <x:c r="AM11" s="130"/>
      <x:c r="AN11" s="130"/>
      <x:c r="AO11" s="130"/>
      <x:c r="AP11" s="130"/>
      <x:c r="AQ11" s="130"/>
      <x:c r="AR11" s="130"/>
      <x:c r="AS11" s="130"/>
      <x:c r="AT11" s="130"/>
      <x:c r="AU11" s="130"/>
      <x:c r="AV11" s="130"/>
      <x:c r="AW11" s="130"/>
      <x:c r="AX11" s="130"/>
      <x:c r="AY11" s="130"/>
      <x:c r="AZ11" s="130"/>
    </x:row>
    <x:row r="12">
      <x:c r="A12" s="131" t="str">
        <x:v>Scenario_Presets</x:v>
      </x:c>
      <x:c r="B12" s="131" t="str">
        <x:v>Four realistic site contexts and editable site-level assumptions.</x:v>
      </x:c>
      <x:c r="C12" s="130"/>
      <x:c r="D12" s="132" t="str">
        <x:v>Green</x:v>
      </x:c>
      <x:c r="E12" s="131" t="str">
        <x:v>Official published factor</x:v>
      </x:c>
      <x:c r="F12" s="131" t="str">
        <x:v>UK Government GHG conversion factor</x:v>
      </x:c>
      <x:c r="G12" s="130"/>
      <x:c r="H12" s="130"/>
      <x:c r="I12" s="130"/>
      <x:c r="J12" s="130"/>
      <x:c r="K12" s="130"/>
      <x:c r="L12" s="130"/>
      <x:c r="M12" s="130"/>
      <x:c r="N12" s="130"/>
      <x:c r="O12" s="130"/>
      <x:c r="P12" s="130"/>
      <x:c r="Q12" s="130"/>
      <x:c r="R12" s="130"/>
      <x:c r="S12" s="130"/>
      <x:c r="T12" s="130"/>
      <x:c r="U12" s="130"/>
      <x:c r="V12" s="130"/>
      <x:c r="W12" s="130"/>
      <x:c r="X12" s="130"/>
      <x:c r="Y12" s="130"/>
      <x:c r="Z12" s="130"/>
      <x:c r="AA12" s="130"/>
      <x:c r="AB12" s="130"/>
      <x:c r="AC12" s="130"/>
      <x:c r="AD12" s="130"/>
      <x:c r="AE12" s="130"/>
      <x:c r="AF12" s="130"/>
      <x:c r="AG12" s="130"/>
      <x:c r="AH12" s="130"/>
      <x:c r="AI12" s="130"/>
      <x:c r="AJ12" s="130"/>
      <x:c r="AK12" s="130"/>
      <x:c r="AL12" s="130"/>
      <x:c r="AM12" s="130"/>
      <x:c r="AN12" s="130"/>
      <x:c r="AO12" s="130"/>
      <x:c r="AP12" s="130"/>
      <x:c r="AQ12" s="130"/>
      <x:c r="AR12" s="130"/>
      <x:c r="AS12" s="130"/>
      <x:c r="AT12" s="130"/>
      <x:c r="AU12" s="130"/>
      <x:c r="AV12" s="130"/>
      <x:c r="AW12" s="130"/>
      <x:c r="AX12" s="130"/>
      <x:c r="AY12" s="130"/>
      <x:c r="AZ12" s="130"/>
    </x:row>
    <x:row r="13">
      <x:c r="A13" s="131" t="str">
        <x:v>Strategy_Assumptions</x:v>
      </x:c>
      <x:c r="B13" s="131" t="str">
        <x:v>Four plant and temporary-power strategies, including teaching assumptions.</x:v>
      </x:c>
      <x:c r="C13" s="130"/>
      <x:c r="D13" s="133" t="str">
        <x:v>Blue</x:v>
      </x:c>
      <x:c r="E13" s="131" t="str">
        <x:v>Manufacturer specification</x:v>
      </x:c>
      <x:c r="F13" s="131" t="str">
        <x:v>Battery capacity, runtime, charging time</x:v>
      </x:c>
      <x:c r="G13" s="130"/>
      <x:c r="H13" s="130"/>
      <x:c r="I13" s="130"/>
      <x:c r="J13" s="130"/>
      <x:c r="K13" s="130"/>
      <x:c r="L13" s="130"/>
      <x:c r="M13" s="130"/>
      <x:c r="N13" s="130"/>
      <x:c r="O13" s="130"/>
      <x:c r="P13" s="130"/>
      <x:c r="Q13" s="130"/>
      <x:c r="R13" s="130"/>
      <x:c r="S13" s="130"/>
      <x:c r="T13" s="130"/>
      <x:c r="U13" s="130"/>
      <x:c r="V13" s="130"/>
      <x:c r="W13" s="130"/>
      <x:c r="X13" s="130"/>
      <x:c r="Y13" s="130"/>
      <x:c r="Z13" s="130"/>
      <x:c r="AA13" s="130"/>
      <x:c r="AB13" s="130"/>
      <x:c r="AC13" s="130"/>
      <x:c r="AD13" s="130"/>
      <x:c r="AE13" s="130"/>
      <x:c r="AF13" s="130"/>
      <x:c r="AG13" s="130"/>
      <x:c r="AH13" s="130"/>
      <x:c r="AI13" s="130"/>
      <x:c r="AJ13" s="130"/>
      <x:c r="AK13" s="130"/>
      <x:c r="AL13" s="130"/>
      <x:c r="AM13" s="130"/>
      <x:c r="AN13" s="130"/>
      <x:c r="AO13" s="130"/>
      <x:c r="AP13" s="130"/>
      <x:c r="AQ13" s="130"/>
      <x:c r="AR13" s="130"/>
      <x:c r="AS13" s="130"/>
      <x:c r="AT13" s="130"/>
      <x:c r="AU13" s="130"/>
      <x:c r="AV13" s="130"/>
      <x:c r="AW13" s="130"/>
      <x:c r="AX13" s="130"/>
      <x:c r="AY13" s="130"/>
      <x:c r="AZ13" s="130"/>
    </x:row>
    <x:row r="14">
      <x:c r="A14" s="131" t="str">
        <x:v>Emission_Factors</x:v>
      </x:c>
      <x:c r="B14" s="131" t="str">
        <x:v>2026 UK carbon factors and optional upstream-energy factors.</x:v>
      </x:c>
      <x:c r="C14" s="130"/>
      <x:c r="D14" s="134" t="str">
        <x:v>Amber</x:v>
      </x:c>
      <x:c r="E14" s="131" t="str">
        <x:v>Teaching assumption</x:v>
      </x:c>
      <x:c r="F14" s="131" t="str">
        <x:v>Fuel rate, cost, productivity, downtime</x:v>
      </x:c>
      <x:c r="G14" s="130"/>
      <x:c r="H14" s="130"/>
      <x:c r="I14" s="130"/>
      <x:c r="J14" s="130"/>
      <x:c r="K14" s="130"/>
      <x:c r="L14" s="130"/>
      <x:c r="M14" s="130"/>
      <x:c r="N14" s="130"/>
      <x:c r="O14" s="130"/>
      <x:c r="P14" s="130"/>
      <x:c r="Q14" s="130"/>
      <x:c r="R14" s="130"/>
      <x:c r="S14" s="130"/>
      <x:c r="T14" s="130"/>
      <x:c r="U14" s="130"/>
      <x:c r="V14" s="130"/>
      <x:c r="W14" s="130"/>
      <x:c r="X14" s="130"/>
      <x:c r="Y14" s="130"/>
      <x:c r="Z14" s="130"/>
      <x:c r="AA14" s="130"/>
      <x:c r="AB14" s="130"/>
      <x:c r="AC14" s="130"/>
      <x:c r="AD14" s="130"/>
      <x:c r="AE14" s="130"/>
      <x:c r="AF14" s="130"/>
      <x:c r="AG14" s="130"/>
      <x:c r="AH14" s="130"/>
      <x:c r="AI14" s="130"/>
      <x:c r="AJ14" s="130"/>
      <x:c r="AK14" s="130"/>
      <x:c r="AL14" s="130"/>
      <x:c r="AM14" s="130"/>
      <x:c r="AN14" s="130"/>
      <x:c r="AO14" s="130"/>
      <x:c r="AP14" s="130"/>
      <x:c r="AQ14" s="130"/>
      <x:c r="AR14" s="130"/>
      <x:c r="AS14" s="130"/>
      <x:c r="AT14" s="130"/>
      <x:c r="AU14" s="130"/>
      <x:c r="AV14" s="130"/>
      <x:c r="AW14" s="130"/>
      <x:c r="AX14" s="130"/>
      <x:c r="AY14" s="130"/>
      <x:c r="AZ14" s="130"/>
    </x:row>
    <x:row r="15">
      <x:c r="A15" s="131" t="str">
        <x:v>Plant_Specs</x:v>
      </x:c>
      <x:c r="B15" s="131" t="str">
        <x:v>Manufacturer specifications and the assumed diesel comparator.</x:v>
      </x:c>
      <x:c r="C15" s="130"/>
      <x:c r="D15" s="135" t="str">
        <x:v>Purple</x:v>
      </x:c>
      <x:c r="E15" s="131" t="str">
        <x:v>Calculated result</x:v>
      </x:c>
      <x:c r="F15" s="131" t="str">
        <x:v>CO₂e, cost, carbon reduction</x:v>
      </x:c>
      <x:c r="G15" s="130"/>
      <x:c r="H15" s="130"/>
      <x:c r="I15" s="130"/>
      <x:c r="J15" s="130"/>
      <x:c r="K15" s="130"/>
      <x:c r="L15" s="130"/>
      <x:c r="M15" s="130"/>
      <x:c r="N15" s="130"/>
      <x:c r="O15" s="130"/>
      <x:c r="P15" s="130"/>
      <x:c r="Q15" s="130"/>
      <x:c r="R15" s="130"/>
      <x:c r="S15" s="130"/>
      <x:c r="T15" s="130"/>
      <x:c r="U15" s="130"/>
      <x:c r="V15" s="130"/>
      <x:c r="W15" s="130"/>
      <x:c r="X15" s="130"/>
      <x:c r="Y15" s="130"/>
      <x:c r="Z15" s="130"/>
      <x:c r="AA15" s="130"/>
      <x:c r="AB15" s="130"/>
      <x:c r="AC15" s="130"/>
      <x:c r="AD15" s="130"/>
      <x:c r="AE15" s="130"/>
      <x:c r="AF15" s="130"/>
      <x:c r="AG15" s="130"/>
      <x:c r="AH15" s="130"/>
      <x:c r="AI15" s="130"/>
      <x:c r="AJ15" s="130"/>
      <x:c r="AK15" s="130"/>
      <x:c r="AL15" s="130"/>
      <x:c r="AM15" s="130"/>
      <x:c r="AN15" s="130"/>
      <x:c r="AO15" s="130"/>
      <x:c r="AP15" s="130"/>
      <x:c r="AQ15" s="130"/>
      <x:c r="AR15" s="130"/>
      <x:c r="AS15" s="130"/>
      <x:c r="AT15" s="130"/>
      <x:c r="AU15" s="130"/>
      <x:c r="AV15" s="130"/>
      <x:c r="AW15" s="130"/>
      <x:c r="AX15" s="130"/>
      <x:c r="AY15" s="130"/>
      <x:c r="AZ15" s="130"/>
    </x:row>
    <x:row r="16">
      <x:c r="A16" s="131" t="str">
        <x:v>Model</x:v>
      </x:c>
      <x:c r="B16" s="131" t="str">
        <x:v>Formula-driven calculation engine for all 16 context–strategy combinations.</x:v>
      </x:c>
      <x:c r="C16" s="130"/>
      <x:c r="D16" s="130"/>
      <x:c r="E16" s="130"/>
      <x:c r="F16" s="130"/>
      <x:c r="G16" s="130"/>
      <x:c r="H16" s="130"/>
      <x:c r="I16" s="130"/>
      <x:c r="J16" s="130"/>
      <x:c r="K16" s="130"/>
      <x:c r="L16" s="130"/>
      <x:c r="M16" s="130"/>
      <x:c r="N16" s="130"/>
      <x:c r="O16" s="130"/>
      <x:c r="P16" s="130"/>
      <x:c r="Q16" s="130"/>
      <x:c r="R16" s="130"/>
      <x:c r="S16" s="130"/>
      <x:c r="T16" s="130"/>
      <x:c r="U16" s="130"/>
      <x:c r="V16" s="130"/>
      <x:c r="W16" s="130"/>
      <x:c r="X16" s="130"/>
      <x:c r="Y16" s="130"/>
      <x:c r="Z16" s="130"/>
      <x:c r="AA16" s="130"/>
      <x:c r="AB16" s="130"/>
      <x:c r="AC16" s="130"/>
      <x:c r="AD16" s="130"/>
      <x:c r="AE16" s="130"/>
      <x:c r="AF16" s="130"/>
      <x:c r="AG16" s="130"/>
      <x:c r="AH16" s="130"/>
      <x:c r="AI16" s="130"/>
      <x:c r="AJ16" s="130"/>
      <x:c r="AK16" s="130"/>
      <x:c r="AL16" s="130"/>
      <x:c r="AM16" s="130"/>
      <x:c r="AN16" s="130"/>
      <x:c r="AO16" s="130"/>
      <x:c r="AP16" s="130"/>
      <x:c r="AQ16" s="130"/>
      <x:c r="AR16" s="130"/>
      <x:c r="AS16" s="130"/>
      <x:c r="AT16" s="130"/>
      <x:c r="AU16" s="130"/>
      <x:c r="AV16" s="130"/>
      <x:c r="AW16" s="130"/>
      <x:c r="AX16" s="130"/>
      <x:c r="AY16" s="130"/>
      <x:c r="AZ16" s="130"/>
    </x:row>
    <x:row r="17">
      <x:c r="A17" s="131" t="str">
        <x:v>Tableau_Wide</x:v>
      </x:c>
      <x:c r="B17" s="131" t="str">
        <x:v>Curated flat table to connect directly to Tableau Desktop.</x:v>
      </x:c>
      <x:c r="C17" s="130"/>
      <x:c r="D17" s="130"/>
      <x:c r="E17" s="130"/>
      <x:c r="F17" s="130"/>
      <x:c r="G17" s="130"/>
      <x:c r="H17" s="130"/>
      <x:c r="I17" s="130"/>
      <x:c r="J17" s="130"/>
      <x:c r="K17" s="130"/>
      <x:c r="L17" s="130"/>
      <x:c r="M17" s="130"/>
      <x:c r="N17" s="130"/>
      <x:c r="O17" s="130"/>
      <x:c r="P17" s="130"/>
      <x:c r="Q17" s="130"/>
      <x:c r="R17" s="130"/>
      <x:c r="S17" s="130"/>
      <x:c r="T17" s="130"/>
      <x:c r="U17" s="130"/>
      <x:c r="V17" s="130"/>
      <x:c r="W17" s="130"/>
      <x:c r="X17" s="130"/>
      <x:c r="Y17" s="130"/>
      <x:c r="Z17" s="130"/>
      <x:c r="AA17" s="130"/>
      <x:c r="AB17" s="130"/>
      <x:c r="AC17" s="130"/>
      <x:c r="AD17" s="130"/>
      <x:c r="AE17" s="130"/>
      <x:c r="AF17" s="130"/>
      <x:c r="AG17" s="130"/>
      <x:c r="AH17" s="130"/>
      <x:c r="AI17" s="130"/>
      <x:c r="AJ17" s="130"/>
      <x:c r="AK17" s="130"/>
      <x:c r="AL17" s="130"/>
      <x:c r="AM17" s="130"/>
      <x:c r="AN17" s="130"/>
      <x:c r="AO17" s="130"/>
      <x:c r="AP17" s="130"/>
      <x:c r="AQ17" s="130"/>
      <x:c r="AR17" s="130"/>
      <x:c r="AS17" s="130"/>
      <x:c r="AT17" s="130"/>
      <x:c r="AU17" s="130"/>
      <x:c r="AV17" s="130"/>
      <x:c r="AW17" s="130"/>
      <x:c r="AX17" s="130"/>
      <x:c r="AY17" s="130"/>
      <x:c r="AZ17" s="130"/>
    </x:row>
    <x:row r="18">
      <x:c r="A18" s="131" t="str">
        <x:v>Dashboard_Preview</x:v>
      </x:c>
      <x:c r="B18" s="131" t="str">
        <x:v>Static example of the intended dashboard layout.</x:v>
      </x:c>
      <x:c r="C18" s="130"/>
      <x:c r="D18" s="130"/>
      <x:c r="E18" s="130"/>
      <x:c r="F18" s="130"/>
      <x:c r="G18" s="130"/>
      <x:c r="H18" s="130"/>
      <x:c r="I18" s="130"/>
      <x:c r="J18" s="130"/>
      <x:c r="K18" s="130"/>
      <x:c r="L18" s="130"/>
      <x:c r="M18" s="130"/>
      <x:c r="N18" s="130"/>
      <x:c r="O18" s="130"/>
      <x:c r="P18" s="130"/>
      <x:c r="Q18" s="130"/>
      <x:c r="R18" s="130"/>
      <x:c r="S18" s="130"/>
      <x:c r="T18" s="130"/>
      <x:c r="U18" s="130"/>
      <x:c r="V18" s="130"/>
      <x:c r="W18" s="130"/>
      <x:c r="X18" s="130"/>
      <x:c r="Y18" s="130"/>
      <x:c r="Z18" s="130"/>
      <x:c r="AA18" s="130"/>
      <x:c r="AB18" s="130"/>
      <x:c r="AC18" s="130"/>
      <x:c r="AD18" s="130"/>
      <x:c r="AE18" s="130"/>
      <x:c r="AF18" s="130"/>
      <x:c r="AG18" s="130"/>
      <x:c r="AH18" s="130"/>
      <x:c r="AI18" s="130"/>
      <x:c r="AJ18" s="130"/>
      <x:c r="AK18" s="130"/>
      <x:c r="AL18" s="130"/>
      <x:c r="AM18" s="130"/>
      <x:c r="AN18" s="130"/>
      <x:c r="AO18" s="130"/>
      <x:c r="AP18" s="130"/>
      <x:c r="AQ18" s="130"/>
      <x:c r="AR18" s="130"/>
      <x:c r="AS18" s="130"/>
      <x:c r="AT18" s="130"/>
      <x:c r="AU18" s="130"/>
      <x:c r="AV18" s="130"/>
      <x:c r="AW18" s="130"/>
      <x:c r="AX18" s="130"/>
      <x:c r="AY18" s="130"/>
      <x:c r="AZ18" s="130"/>
    </x:row>
    <x:row r="19">
      <x:c r="A19" s="131" t="str">
        <x:v>Tableau_Build_Guide</x:v>
      </x:c>
      <x:c r="B19" s="131" t="str">
        <x:v>Step-by-step Tableau worksheet and dashboard plan.</x:v>
      </x:c>
      <x:c r="C19" s="130"/>
      <x:c r="D19" s="130"/>
      <x:c r="E19" s="130"/>
      <x:c r="F19" s="130"/>
      <x:c r="G19" s="130"/>
      <x:c r="H19" s="130"/>
      <x:c r="I19" s="130"/>
      <x:c r="J19" s="130"/>
      <x:c r="K19" s="130"/>
      <x:c r="L19" s="130"/>
      <x:c r="M19" s="130"/>
      <x:c r="N19" s="130"/>
      <x:c r="O19" s="130"/>
      <x:c r="P19" s="130"/>
      <x:c r="Q19" s="130"/>
      <x:c r="R19" s="130"/>
      <x:c r="S19" s="130"/>
      <x:c r="T19" s="130"/>
      <x:c r="U19" s="130"/>
      <x:c r="V19" s="130"/>
      <x:c r="W19" s="130"/>
      <x:c r="X19" s="130"/>
      <x:c r="Y19" s="130"/>
      <x:c r="Z19" s="130"/>
      <x:c r="AA19" s="130"/>
      <x:c r="AB19" s="130"/>
      <x:c r="AC19" s="130"/>
      <x:c r="AD19" s="130"/>
      <x:c r="AE19" s="130"/>
      <x:c r="AF19" s="130"/>
      <x:c r="AG19" s="130"/>
      <x:c r="AH19" s="130"/>
      <x:c r="AI19" s="130"/>
      <x:c r="AJ19" s="130"/>
      <x:c r="AK19" s="130"/>
      <x:c r="AL19" s="130"/>
      <x:c r="AM19" s="130"/>
      <x:c r="AN19" s="130"/>
      <x:c r="AO19" s="130"/>
      <x:c r="AP19" s="130"/>
      <x:c r="AQ19" s="130"/>
      <x:c r="AR19" s="130"/>
      <x:c r="AS19" s="130"/>
      <x:c r="AT19" s="130"/>
      <x:c r="AU19" s="130"/>
      <x:c r="AV19" s="130"/>
      <x:c r="AW19" s="130"/>
      <x:c r="AX19" s="130"/>
      <x:c r="AY19" s="130"/>
      <x:c r="AZ19" s="130"/>
    </x:row>
    <x:row r="20">
      <x:c r="A20" s="131"/>
      <x:c r="B20" s="131"/>
      <x:c r="C20" s="130"/>
      <x:c r="D20" s="130"/>
      <x:c r="E20" s="130"/>
      <x:c r="F20" s="130"/>
      <x:c r="G20" s="130"/>
      <x:c r="H20" s="130"/>
      <x:c r="I20" s="130"/>
      <x:c r="J20" s="130"/>
      <x:c r="K20" s="130"/>
      <x:c r="L20" s="130"/>
      <x:c r="M20" s="130"/>
      <x:c r="N20" s="130"/>
      <x:c r="O20" s="130"/>
      <x:c r="P20" s="130"/>
      <x:c r="Q20" s="130"/>
      <x:c r="R20" s="130"/>
      <x:c r="S20" s="130"/>
      <x:c r="T20" s="130"/>
      <x:c r="U20" s="130"/>
      <x:c r="V20" s="130"/>
      <x:c r="W20" s="130"/>
      <x:c r="X20" s="130"/>
      <x:c r="Y20" s="130"/>
      <x:c r="Z20" s="130"/>
      <x:c r="AA20" s="130"/>
      <x:c r="AB20" s="130"/>
      <x:c r="AC20" s="130"/>
      <x:c r="AD20" s="130"/>
      <x:c r="AE20" s="130"/>
      <x:c r="AF20" s="130"/>
      <x:c r="AG20" s="130"/>
      <x:c r="AH20" s="130"/>
      <x:c r="AI20" s="130"/>
      <x:c r="AJ20" s="130"/>
      <x:c r="AK20" s="130"/>
      <x:c r="AL20" s="130"/>
      <x:c r="AM20" s="130"/>
      <x:c r="AN20" s="130"/>
      <x:c r="AO20" s="130"/>
      <x:c r="AP20" s="130"/>
      <x:c r="AQ20" s="130"/>
      <x:c r="AR20" s="130"/>
      <x:c r="AS20" s="130"/>
      <x:c r="AT20" s="130"/>
      <x:c r="AU20" s="130"/>
      <x:c r="AV20" s="130"/>
      <x:c r="AW20" s="130"/>
      <x:c r="AX20" s="130"/>
      <x:c r="AY20" s="130"/>
      <x:c r="AZ20" s="130"/>
    </x:row>
    <x:row r="21">
      <x:c r="A21" s="130"/>
      <x:c r="B21" s="130"/>
      <x:c r="C21" s="130"/>
      <x:c r="D21" s="130"/>
      <x:c r="E21" s="130"/>
      <x:c r="F21" s="130"/>
      <x:c r="G21" s="130"/>
      <x:c r="H21" s="130"/>
      <x:c r="I21" s="130"/>
      <x:c r="J21" s="130"/>
      <x:c r="K21" s="130"/>
      <x:c r="L21" s="130"/>
      <x:c r="M21" s="130"/>
      <x:c r="N21" s="130"/>
      <x:c r="O21" s="130"/>
      <x:c r="P21" s="130"/>
      <x:c r="Q21" s="130"/>
      <x:c r="R21" s="130"/>
      <x:c r="S21" s="130"/>
      <x:c r="T21" s="130"/>
      <x:c r="U21" s="130"/>
      <x:c r="V21" s="130"/>
      <x:c r="W21" s="130"/>
      <x:c r="X21" s="130"/>
      <x:c r="Y21" s="130"/>
      <x:c r="Z21" s="130"/>
      <x:c r="AA21" s="130"/>
      <x:c r="AB21" s="130"/>
      <x:c r="AC21" s="130"/>
      <x:c r="AD21" s="130"/>
      <x:c r="AE21" s="130"/>
      <x:c r="AF21" s="130"/>
      <x:c r="AG21" s="130"/>
      <x:c r="AH21" s="130"/>
      <x:c r="AI21" s="130"/>
      <x:c r="AJ21" s="130"/>
      <x:c r="AK21" s="130"/>
      <x:c r="AL21" s="130"/>
      <x:c r="AM21" s="130"/>
      <x:c r="AN21" s="130"/>
      <x:c r="AO21" s="130"/>
      <x:c r="AP21" s="130"/>
      <x:c r="AQ21" s="130"/>
      <x:c r="AR21" s="130"/>
      <x:c r="AS21" s="130"/>
      <x:c r="AT21" s="130"/>
      <x:c r="AU21" s="130"/>
      <x:c r="AV21" s="130"/>
      <x:c r="AW21" s="130"/>
      <x:c r="AX21" s="130"/>
      <x:c r="AY21" s="130"/>
      <x:c r="AZ21" s="130"/>
    </x:row>
    <x:row r="22">
      <x:c r="A22" s="19" t="str">
        <x:v>Important modelling boundary</x:v>
      </x:c>
      <x:c r="B22" s="19"/>
      <x:c r="C22" s="19"/>
      <x:c r="D22" s="19"/>
      <x:c r="E22" s="19"/>
      <x:c r="F22" s="19"/>
      <x:c r="G22" s="19"/>
      <x:c r="H22" s="19"/>
      <x:c r="I22" s="130"/>
      <x:c r="J22" s="130"/>
      <x:c r="K22" s="130"/>
      <x:c r="L22" s="130"/>
      <x:c r="M22" s="130"/>
      <x:c r="N22" s="130"/>
      <x:c r="O22" s="130"/>
      <x:c r="P22" s="130"/>
      <x:c r="Q22" s="130"/>
      <x:c r="R22" s="130"/>
      <x:c r="S22" s="130"/>
      <x:c r="T22" s="130"/>
      <x:c r="U22" s="130"/>
      <x:c r="V22" s="130"/>
      <x:c r="W22" s="130"/>
      <x:c r="X22" s="130"/>
      <x:c r="Y22" s="130"/>
      <x:c r="Z22" s="130"/>
      <x:c r="AA22" s="130"/>
      <x:c r="AB22" s="130"/>
      <x:c r="AC22" s="130"/>
      <x:c r="AD22" s="130"/>
      <x:c r="AE22" s="130"/>
      <x:c r="AF22" s="130"/>
      <x:c r="AG22" s="130"/>
      <x:c r="AH22" s="130"/>
      <x:c r="AI22" s="130"/>
      <x:c r="AJ22" s="130"/>
      <x:c r="AK22" s="130"/>
      <x:c r="AL22" s="130"/>
      <x:c r="AM22" s="130"/>
      <x:c r="AN22" s="130"/>
      <x:c r="AO22" s="130"/>
      <x:c r="AP22" s="130"/>
      <x:c r="AQ22" s="130"/>
      <x:c r="AR22" s="130"/>
      <x:c r="AS22" s="130"/>
      <x:c r="AT22" s="130"/>
      <x:c r="AU22" s="130"/>
      <x:c r="AV22" s="130"/>
      <x:c r="AW22" s="130"/>
      <x:c r="AX22" s="130"/>
      <x:c r="AY22" s="130"/>
      <x:c r="AZ22" s="130"/>
    </x:row>
    <x:row r="23">
      <x:c r="A23" s="131" t="str">
        <x:v>The main dashboard metric is operational carbon: direct diesel combustion plus location-based grid electricity. An expanded energy-carbon result is also provided to show how the answer changes when upstream fuel supply, electricity transmission and distribution, and electricity well-to-tank emissions are included. Embodied carbon of the machines and batteries is outside this first teaching prototype.</x:v>
      </x:c>
      <x:c r="B23" s="131"/>
      <x:c r="C23" s="131"/>
      <x:c r="D23" s="131"/>
      <x:c r="E23" s="131"/>
      <x:c r="F23" s="131"/>
      <x:c r="G23" s="131"/>
      <x:c r="H23" s="131"/>
      <x:c r="I23" s="130"/>
      <x:c r="J23" s="130"/>
      <x:c r="K23" s="130"/>
      <x:c r="L23" s="130"/>
      <x:c r="M23" s="130"/>
      <x:c r="N23" s="130"/>
      <x:c r="O23" s="130"/>
      <x:c r="P23" s="130"/>
      <x:c r="Q23" s="130"/>
      <x:c r="R23" s="130"/>
      <x:c r="S23" s="130"/>
      <x:c r="T23" s="130"/>
      <x:c r="U23" s="130"/>
      <x:c r="V23" s="130"/>
      <x:c r="W23" s="130"/>
      <x:c r="X23" s="130"/>
      <x:c r="Y23" s="130"/>
      <x:c r="Z23" s="130"/>
      <x:c r="AA23" s="130"/>
      <x:c r="AB23" s="130"/>
      <x:c r="AC23" s="130"/>
      <x:c r="AD23" s="130"/>
      <x:c r="AE23" s="130"/>
      <x:c r="AF23" s="130"/>
      <x:c r="AG23" s="130"/>
      <x:c r="AH23" s="130"/>
      <x:c r="AI23" s="130"/>
      <x:c r="AJ23" s="130"/>
      <x:c r="AK23" s="130"/>
      <x:c r="AL23" s="130"/>
      <x:c r="AM23" s="130"/>
      <x:c r="AN23" s="130"/>
      <x:c r="AO23" s="130"/>
      <x:c r="AP23" s="130"/>
      <x:c r="AQ23" s="130"/>
      <x:c r="AR23" s="130"/>
      <x:c r="AS23" s="130"/>
      <x:c r="AT23" s="130"/>
      <x:c r="AU23" s="130"/>
      <x:c r="AV23" s="130"/>
      <x:c r="AW23" s="130"/>
      <x:c r="AX23" s="130"/>
      <x:c r="AY23" s="130"/>
      <x:c r="AZ23" s="130"/>
    </x:row>
    <x:row r="24">
      <x:c r="A24" s="131"/>
      <x:c r="B24" s="131"/>
      <x:c r="C24" s="131"/>
      <x:c r="D24" s="131"/>
      <x:c r="E24" s="131"/>
      <x:c r="F24" s="131"/>
      <x:c r="G24" s="131"/>
      <x:c r="H24" s="131"/>
      <x:c r="I24" s="130"/>
      <x:c r="J24" s="130"/>
      <x:c r="K24" s="130"/>
      <x:c r="L24" s="130"/>
      <x:c r="M24" s="130"/>
      <x:c r="N24" s="130"/>
      <x:c r="O24" s="130"/>
      <x:c r="P24" s="130"/>
      <x:c r="Q24" s="130"/>
      <x:c r="R24" s="130"/>
      <x:c r="S24" s="130"/>
      <x:c r="T24" s="130"/>
      <x:c r="U24" s="130"/>
      <x:c r="V24" s="130"/>
      <x:c r="W24" s="130"/>
      <x:c r="X24" s="130"/>
      <x:c r="Y24" s="130"/>
      <x:c r="Z24" s="130"/>
      <x:c r="AA24" s="130"/>
      <x:c r="AB24" s="130"/>
      <x:c r="AC24" s="130"/>
      <x:c r="AD24" s="130"/>
      <x:c r="AE24" s="130"/>
      <x:c r="AF24" s="130"/>
      <x:c r="AG24" s="130"/>
      <x:c r="AH24" s="130"/>
      <x:c r="AI24" s="130"/>
      <x:c r="AJ24" s="130"/>
      <x:c r="AK24" s="130"/>
      <x:c r="AL24" s="130"/>
      <x:c r="AM24" s="130"/>
      <x:c r="AN24" s="130"/>
      <x:c r="AO24" s="130"/>
      <x:c r="AP24" s="130"/>
      <x:c r="AQ24" s="130"/>
      <x:c r="AR24" s="130"/>
      <x:c r="AS24" s="130"/>
      <x:c r="AT24" s="130"/>
      <x:c r="AU24" s="130"/>
      <x:c r="AV24" s="130"/>
      <x:c r="AW24" s="130"/>
      <x:c r="AX24" s="130"/>
      <x:c r="AY24" s="130"/>
      <x:c r="AZ24" s="130"/>
    </x:row>
    <x:row r="25">
      <x:c r="A25" s="131"/>
      <x:c r="B25" s="131"/>
      <x:c r="C25" s="131"/>
      <x:c r="D25" s="131"/>
      <x:c r="E25" s="131"/>
      <x:c r="F25" s="131"/>
      <x:c r="G25" s="131"/>
      <x:c r="H25" s="131"/>
      <x:c r="I25" s="130"/>
      <x:c r="J25" s="130"/>
      <x:c r="K25" s="130"/>
      <x:c r="L25" s="130"/>
      <x:c r="M25" s="130"/>
      <x:c r="N25" s="130"/>
      <x:c r="O25" s="130"/>
      <x:c r="P25" s="130"/>
      <x:c r="Q25" s="130"/>
      <x:c r="R25" s="130"/>
      <x:c r="S25" s="130"/>
      <x:c r="T25" s="130"/>
      <x:c r="U25" s="130"/>
      <x:c r="V25" s="130"/>
      <x:c r="W25" s="130"/>
      <x:c r="X25" s="130"/>
      <x:c r="Y25" s="130"/>
      <x:c r="Z25" s="130"/>
      <x:c r="AA25" s="130"/>
      <x:c r="AB25" s="130"/>
      <x:c r="AC25" s="130"/>
      <x:c r="AD25" s="130"/>
      <x:c r="AE25" s="130"/>
      <x:c r="AF25" s="130"/>
      <x:c r="AG25" s="130"/>
      <x:c r="AH25" s="130"/>
      <x:c r="AI25" s="130"/>
      <x:c r="AJ25" s="130"/>
      <x:c r="AK25" s="130"/>
      <x:c r="AL25" s="130"/>
      <x:c r="AM25" s="130"/>
      <x:c r="AN25" s="130"/>
      <x:c r="AO25" s="130"/>
      <x:c r="AP25" s="130"/>
      <x:c r="AQ25" s="130"/>
      <x:c r="AR25" s="130"/>
      <x:c r="AS25" s="130"/>
      <x:c r="AT25" s="130"/>
      <x:c r="AU25" s="130"/>
      <x:c r="AV25" s="130"/>
      <x:c r="AW25" s="130"/>
      <x:c r="AX25" s="130"/>
      <x:c r="AY25" s="130"/>
      <x:c r="AZ25" s="130"/>
    </x:row>
    <x:row r="26">
      <x:c r="A26" s="131"/>
      <x:c r="B26" s="131"/>
      <x:c r="C26" s="131"/>
      <x:c r="D26" s="131"/>
      <x:c r="E26" s="131"/>
      <x:c r="F26" s="131"/>
      <x:c r="G26" s="131"/>
      <x:c r="H26" s="131"/>
      <x:c r="I26" s="130"/>
      <x:c r="J26" s="130"/>
      <x:c r="K26" s="130"/>
      <x:c r="L26" s="130"/>
      <x:c r="M26" s="130"/>
      <x:c r="N26" s="130"/>
      <x:c r="O26" s="130"/>
      <x:c r="P26" s="130"/>
      <x:c r="Q26" s="130"/>
      <x:c r="R26" s="130"/>
      <x:c r="S26" s="130"/>
      <x:c r="T26" s="130"/>
      <x:c r="U26" s="130"/>
      <x:c r="V26" s="130"/>
      <x:c r="W26" s="130"/>
      <x:c r="X26" s="130"/>
      <x:c r="Y26" s="130"/>
      <x:c r="Z26" s="130"/>
      <x:c r="AA26" s="130"/>
      <x:c r="AB26" s="130"/>
      <x:c r="AC26" s="130"/>
      <x:c r="AD26" s="130"/>
      <x:c r="AE26" s="130"/>
      <x:c r="AF26" s="130"/>
      <x:c r="AG26" s="130"/>
      <x:c r="AH26" s="130"/>
      <x:c r="AI26" s="130"/>
      <x:c r="AJ26" s="130"/>
      <x:c r="AK26" s="130"/>
      <x:c r="AL26" s="130"/>
      <x:c r="AM26" s="130"/>
      <x:c r="AN26" s="130"/>
      <x:c r="AO26" s="130"/>
      <x:c r="AP26" s="130"/>
      <x:c r="AQ26" s="130"/>
      <x:c r="AR26" s="130"/>
      <x:c r="AS26" s="130"/>
      <x:c r="AT26" s="130"/>
      <x:c r="AU26" s="130"/>
      <x:c r="AV26" s="130"/>
      <x:c r="AW26" s="130"/>
      <x:c r="AX26" s="130"/>
      <x:c r="AY26" s="130"/>
      <x:c r="AZ26" s="130"/>
    </x:row>
    <x:row r="27">
      <x:c r="A27" s="130"/>
      <x:c r="B27" s="130"/>
      <x:c r="C27" s="130"/>
      <x:c r="D27" s="130"/>
      <x:c r="E27" s="130"/>
      <x:c r="F27" s="130"/>
      <x:c r="G27" s="130"/>
      <x:c r="H27" s="130"/>
      <x:c r="I27" s="130"/>
      <x:c r="J27" s="130"/>
      <x:c r="K27" s="130"/>
      <x:c r="L27" s="130"/>
      <x:c r="M27" s="130"/>
      <x:c r="N27" s="130"/>
      <x:c r="O27" s="130"/>
      <x:c r="P27" s="130"/>
      <x:c r="Q27" s="130"/>
      <x:c r="R27" s="130"/>
      <x:c r="S27" s="130"/>
      <x:c r="T27" s="130"/>
      <x:c r="U27" s="130"/>
      <x:c r="V27" s="130"/>
      <x:c r="W27" s="130"/>
      <x:c r="X27" s="130"/>
      <x:c r="Y27" s="130"/>
      <x:c r="Z27" s="130"/>
      <x:c r="AA27" s="130"/>
      <x:c r="AB27" s="130"/>
      <x:c r="AC27" s="130"/>
      <x:c r="AD27" s="130"/>
      <x:c r="AE27" s="130"/>
      <x:c r="AF27" s="130"/>
      <x:c r="AG27" s="130"/>
      <x:c r="AH27" s="130"/>
      <x:c r="AI27" s="130"/>
      <x:c r="AJ27" s="130"/>
      <x:c r="AK27" s="130"/>
      <x:c r="AL27" s="130"/>
      <x:c r="AM27" s="130"/>
      <x:c r="AN27" s="130"/>
      <x:c r="AO27" s="130"/>
      <x:c r="AP27" s="130"/>
      <x:c r="AQ27" s="130"/>
      <x:c r="AR27" s="130"/>
      <x:c r="AS27" s="130"/>
      <x:c r="AT27" s="130"/>
      <x:c r="AU27" s="130"/>
      <x:c r="AV27" s="130"/>
      <x:c r="AW27" s="130"/>
      <x:c r="AX27" s="130"/>
      <x:c r="AY27" s="130"/>
      <x:c r="AZ27" s="130"/>
    </x:row>
    <x:row r="28">
      <x:c r="A28" s="19" t="str">
        <x:v>Before publishing publicly</x:v>
      </x:c>
      <x:c r="B28" s="19"/>
      <x:c r="C28" s="19"/>
      <x:c r="D28" s="19"/>
      <x:c r="E28" s="19"/>
      <x:c r="F28" s="19"/>
      <x:c r="G28" s="19"/>
      <x:c r="H28" s="19"/>
      <x:c r="I28" s="130"/>
      <x:c r="J28" s="130"/>
      <x:c r="K28" s="130"/>
      <x:c r="L28" s="130"/>
      <x:c r="M28" s="130"/>
      <x:c r="N28" s="130"/>
      <x:c r="O28" s="130"/>
      <x:c r="P28" s="130"/>
      <x:c r="Q28" s="130"/>
      <x:c r="R28" s="130"/>
      <x:c r="S28" s="130"/>
      <x:c r="T28" s="130"/>
      <x:c r="U28" s="130"/>
      <x:c r="V28" s="130"/>
      <x:c r="W28" s="130"/>
      <x:c r="X28" s="130"/>
      <x:c r="Y28" s="130"/>
      <x:c r="Z28" s="130"/>
      <x:c r="AA28" s="130"/>
      <x:c r="AB28" s="130"/>
      <x:c r="AC28" s="130"/>
      <x:c r="AD28" s="130"/>
      <x:c r="AE28" s="130"/>
      <x:c r="AF28" s="130"/>
      <x:c r="AG28" s="130"/>
      <x:c r="AH28" s="130"/>
      <x:c r="AI28" s="130"/>
      <x:c r="AJ28" s="130"/>
      <x:c r="AK28" s="130"/>
      <x:c r="AL28" s="130"/>
      <x:c r="AM28" s="130"/>
      <x:c r="AN28" s="130"/>
      <x:c r="AO28" s="130"/>
      <x:c r="AP28" s="130"/>
      <x:c r="AQ28" s="130"/>
      <x:c r="AR28" s="130"/>
      <x:c r="AS28" s="130"/>
      <x:c r="AT28" s="130"/>
      <x:c r="AU28" s="130"/>
      <x:c r="AV28" s="130"/>
      <x:c r="AW28" s="130"/>
      <x:c r="AX28" s="130"/>
      <x:c r="AY28" s="130"/>
      <x:c r="AZ28" s="130"/>
    </x:row>
    <x:row r="29">
      <x:c r="A29" s="131" t="str">
        <x:v>Open this workbook in Excel and save it once so all formula values are refreshed. Review the amber teaching assumptions and adjust them if you obtain project or supplier data. When publishing to Tableau Public, describe it as an interactive teaching prototype and retain the source and limitation notes.</x:v>
      </x:c>
      <x:c r="B29" s="131"/>
      <x:c r="C29" s="131"/>
      <x:c r="D29" s="131"/>
      <x:c r="E29" s="131"/>
      <x:c r="F29" s="131"/>
      <x:c r="G29" s="131"/>
      <x:c r="H29" s="131"/>
      <x:c r="I29" s="130"/>
      <x:c r="J29" s="130"/>
      <x:c r="K29" s="130"/>
      <x:c r="L29" s="130"/>
      <x:c r="M29" s="130"/>
      <x:c r="N29" s="130"/>
      <x:c r="O29" s="130"/>
      <x:c r="P29" s="130"/>
      <x:c r="Q29" s="130"/>
      <x:c r="R29" s="130"/>
      <x:c r="S29" s="130"/>
      <x:c r="T29" s="130"/>
      <x:c r="U29" s="130"/>
      <x:c r="V29" s="130"/>
      <x:c r="W29" s="130"/>
      <x:c r="X29" s="130"/>
      <x:c r="Y29" s="130"/>
      <x:c r="Z29" s="130"/>
      <x:c r="AA29" s="130"/>
      <x:c r="AB29" s="130"/>
      <x:c r="AC29" s="130"/>
      <x:c r="AD29" s="130"/>
      <x:c r="AE29" s="130"/>
      <x:c r="AF29" s="130"/>
      <x:c r="AG29" s="130"/>
      <x:c r="AH29" s="130"/>
      <x:c r="AI29" s="130"/>
      <x:c r="AJ29" s="130"/>
      <x:c r="AK29" s="130"/>
      <x:c r="AL29" s="130"/>
      <x:c r="AM29" s="130"/>
      <x:c r="AN29" s="130"/>
      <x:c r="AO29" s="130"/>
      <x:c r="AP29" s="130"/>
      <x:c r="AQ29" s="130"/>
      <x:c r="AR29" s="130"/>
      <x:c r="AS29" s="130"/>
      <x:c r="AT29" s="130"/>
      <x:c r="AU29" s="130"/>
      <x:c r="AV29" s="130"/>
      <x:c r="AW29" s="130"/>
      <x:c r="AX29" s="130"/>
      <x:c r="AY29" s="130"/>
      <x:c r="AZ29" s="130"/>
    </x:row>
    <x:row r="30">
      <x:c r="A30" s="131"/>
      <x:c r="B30" s="131"/>
      <x:c r="C30" s="131"/>
      <x:c r="D30" s="131"/>
      <x:c r="E30" s="131"/>
      <x:c r="F30" s="131"/>
      <x:c r="G30" s="131"/>
      <x:c r="H30" s="131"/>
      <x:c r="I30" s="130"/>
      <x:c r="J30" s="130"/>
      <x:c r="K30" s="130"/>
      <x:c r="L30" s="130"/>
      <x:c r="M30" s="130"/>
      <x:c r="N30" s="130"/>
      <x:c r="O30" s="130"/>
      <x:c r="P30" s="130"/>
      <x:c r="Q30" s="130"/>
      <x:c r="R30" s="130"/>
      <x:c r="S30" s="130"/>
      <x:c r="T30" s="130"/>
      <x:c r="U30" s="130"/>
      <x:c r="V30" s="130"/>
      <x:c r="W30" s="130"/>
      <x:c r="X30" s="130"/>
      <x:c r="Y30" s="130"/>
      <x:c r="Z30" s="130"/>
      <x:c r="AA30" s="130"/>
      <x:c r="AB30" s="130"/>
      <x:c r="AC30" s="130"/>
      <x:c r="AD30" s="130"/>
      <x:c r="AE30" s="130"/>
      <x:c r="AF30" s="130"/>
      <x:c r="AG30" s="130"/>
      <x:c r="AH30" s="130"/>
      <x:c r="AI30" s="130"/>
      <x:c r="AJ30" s="130"/>
      <x:c r="AK30" s="130"/>
      <x:c r="AL30" s="130"/>
      <x:c r="AM30" s="130"/>
      <x:c r="AN30" s="130"/>
      <x:c r="AO30" s="130"/>
      <x:c r="AP30" s="130"/>
      <x:c r="AQ30" s="130"/>
      <x:c r="AR30" s="130"/>
      <x:c r="AS30" s="130"/>
      <x:c r="AT30" s="130"/>
      <x:c r="AU30" s="130"/>
      <x:c r="AV30" s="130"/>
      <x:c r="AW30" s="130"/>
      <x:c r="AX30" s="130"/>
      <x:c r="AY30" s="130"/>
      <x:c r="AZ30" s="130"/>
    </x:row>
    <x:row r="31">
      <x:c r="A31" s="131"/>
      <x:c r="B31" s="131"/>
      <x:c r="C31" s="131"/>
      <x:c r="D31" s="131"/>
      <x:c r="E31" s="131"/>
      <x:c r="F31" s="131"/>
      <x:c r="G31" s="131"/>
      <x:c r="H31" s="131"/>
      <x:c r="I31" s="130"/>
      <x:c r="J31" s="130"/>
      <x:c r="K31" s="130"/>
      <x:c r="L31" s="130"/>
      <x:c r="M31" s="130"/>
      <x:c r="N31" s="130"/>
      <x:c r="O31" s="130"/>
      <x:c r="P31" s="130"/>
      <x:c r="Q31" s="130"/>
      <x:c r="R31" s="130"/>
      <x:c r="S31" s="130"/>
      <x:c r="T31" s="130"/>
      <x:c r="U31" s="130"/>
      <x:c r="V31" s="130"/>
      <x:c r="W31" s="130"/>
      <x:c r="X31" s="130"/>
      <x:c r="Y31" s="130"/>
      <x:c r="Z31" s="130"/>
      <x:c r="AA31" s="130"/>
      <x:c r="AB31" s="130"/>
      <x:c r="AC31" s="130"/>
      <x:c r="AD31" s="130"/>
      <x:c r="AE31" s="130"/>
      <x:c r="AF31" s="130"/>
      <x:c r="AG31" s="130"/>
      <x:c r="AH31" s="130"/>
      <x:c r="AI31" s="130"/>
      <x:c r="AJ31" s="130"/>
      <x:c r="AK31" s="130"/>
      <x:c r="AL31" s="130"/>
      <x:c r="AM31" s="130"/>
      <x:c r="AN31" s="130"/>
      <x:c r="AO31" s="130"/>
      <x:c r="AP31" s="130"/>
      <x:c r="AQ31" s="130"/>
      <x:c r="AR31" s="130"/>
      <x:c r="AS31" s="130"/>
      <x:c r="AT31" s="130"/>
      <x:c r="AU31" s="130"/>
      <x:c r="AV31" s="130"/>
      <x:c r="AW31" s="130"/>
      <x:c r="AX31" s="130"/>
      <x:c r="AY31" s="130"/>
      <x:c r="AZ31" s="130"/>
    </x:row>
    <x:row r="32">
      <x:c r="A32" s="131"/>
      <x:c r="B32" s="131"/>
      <x:c r="C32" s="131"/>
      <x:c r="D32" s="131"/>
      <x:c r="E32" s="131"/>
      <x:c r="F32" s="131"/>
      <x:c r="G32" s="131"/>
      <x:c r="H32" s="131"/>
      <x:c r="I32" s="130"/>
      <x:c r="J32" s="130"/>
      <x:c r="K32" s="130"/>
      <x:c r="L32" s="130"/>
      <x:c r="M32" s="130"/>
      <x:c r="N32" s="130"/>
      <x:c r="O32" s="130"/>
      <x:c r="P32" s="130"/>
      <x:c r="Q32" s="130"/>
      <x:c r="R32" s="130"/>
      <x:c r="S32" s="130"/>
      <x:c r="T32" s="130"/>
      <x:c r="U32" s="130"/>
      <x:c r="V32" s="130"/>
      <x:c r="W32" s="130"/>
      <x:c r="X32" s="130"/>
      <x:c r="Y32" s="130"/>
      <x:c r="Z32" s="130"/>
      <x:c r="AA32" s="130"/>
      <x:c r="AB32" s="130"/>
      <x:c r="AC32" s="130"/>
      <x:c r="AD32" s="130"/>
      <x:c r="AE32" s="130"/>
      <x:c r="AF32" s="130"/>
      <x:c r="AG32" s="130"/>
      <x:c r="AH32" s="130"/>
      <x:c r="AI32" s="130"/>
      <x:c r="AJ32" s="130"/>
      <x:c r="AK32" s="130"/>
      <x:c r="AL32" s="130"/>
      <x:c r="AM32" s="130"/>
      <x:c r="AN32" s="130"/>
      <x:c r="AO32" s="130"/>
      <x:c r="AP32" s="130"/>
      <x:c r="AQ32" s="130"/>
      <x:c r="AR32" s="130"/>
      <x:c r="AS32" s="130"/>
      <x:c r="AT32" s="130"/>
      <x:c r="AU32" s="130"/>
      <x:c r="AV32" s="130"/>
      <x:c r="AW32" s="130"/>
      <x:c r="AX32" s="130"/>
      <x:c r="AY32" s="130"/>
      <x:c r="AZ32" s="130"/>
    </x:row>
    <x:row r="33">
      <x:c r="A33" s="130"/>
      <x:c r="B33" s="130"/>
      <x:c r="C33" s="130"/>
      <x:c r="D33" s="130"/>
      <x:c r="E33" s="130"/>
      <x:c r="F33" s="130"/>
      <x:c r="G33" s="130"/>
      <x:c r="H33" s="130"/>
      <x:c r="I33" s="130"/>
      <x:c r="J33" s="130"/>
      <x:c r="K33" s="130"/>
      <x:c r="L33" s="130"/>
      <x:c r="M33" s="130"/>
      <x:c r="N33" s="130"/>
      <x:c r="O33" s="130"/>
      <x:c r="P33" s="130"/>
      <x:c r="Q33" s="130"/>
      <x:c r="R33" s="130"/>
      <x:c r="S33" s="130"/>
      <x:c r="T33" s="130"/>
      <x:c r="U33" s="130"/>
      <x:c r="V33" s="130"/>
      <x:c r="W33" s="130"/>
      <x:c r="X33" s="130"/>
      <x:c r="Y33" s="130"/>
      <x:c r="Z33" s="130"/>
      <x:c r="AA33" s="130"/>
      <x:c r="AB33" s="130"/>
      <x:c r="AC33" s="130"/>
      <x:c r="AD33" s="130"/>
      <x:c r="AE33" s="130"/>
      <x:c r="AF33" s="130"/>
      <x:c r="AG33" s="130"/>
      <x:c r="AH33" s="130"/>
      <x:c r="AI33" s="130"/>
      <x:c r="AJ33" s="130"/>
      <x:c r="AK33" s="130"/>
      <x:c r="AL33" s="130"/>
      <x:c r="AM33" s="130"/>
      <x:c r="AN33" s="130"/>
      <x:c r="AO33" s="130"/>
      <x:c r="AP33" s="130"/>
      <x:c r="AQ33" s="130"/>
      <x:c r="AR33" s="130"/>
      <x:c r="AS33" s="130"/>
      <x:c r="AT33" s="130"/>
      <x:c r="AU33" s="130"/>
      <x:c r="AV33" s="130"/>
      <x:c r="AW33" s="130"/>
      <x:c r="AX33" s="130"/>
      <x:c r="AY33" s="130"/>
      <x:c r="AZ33" s="130"/>
    </x:row>
    <x:row r="34">
      <x:c r="A34" s="130"/>
      <x:c r="B34" s="130"/>
      <x:c r="C34" s="130"/>
      <x:c r="D34" s="130"/>
      <x:c r="E34" s="130"/>
      <x:c r="F34" s="130"/>
      <x:c r="G34" s="130"/>
      <x:c r="H34" s="130"/>
      <x:c r="I34" s="130"/>
      <x:c r="J34" s="130"/>
      <x:c r="K34" s="130"/>
      <x:c r="L34" s="130"/>
      <x:c r="M34" s="130"/>
      <x:c r="N34" s="130"/>
      <x:c r="O34" s="130"/>
      <x:c r="P34" s="130"/>
      <x:c r="Q34" s="130"/>
      <x:c r="R34" s="130"/>
      <x:c r="S34" s="130"/>
      <x:c r="T34" s="130"/>
      <x:c r="U34" s="130"/>
      <x:c r="V34" s="130"/>
      <x:c r="W34" s="130"/>
      <x:c r="X34" s="130"/>
      <x:c r="Y34" s="130"/>
      <x:c r="Z34" s="130"/>
      <x:c r="AA34" s="130"/>
      <x:c r="AB34" s="130"/>
      <x:c r="AC34" s="130"/>
      <x:c r="AD34" s="130"/>
      <x:c r="AE34" s="130"/>
      <x:c r="AF34" s="130"/>
      <x:c r="AG34" s="130"/>
      <x:c r="AH34" s="130"/>
      <x:c r="AI34" s="130"/>
      <x:c r="AJ34" s="130"/>
      <x:c r="AK34" s="130"/>
      <x:c r="AL34" s="130"/>
      <x:c r="AM34" s="130"/>
      <x:c r="AN34" s="130"/>
      <x:c r="AO34" s="130"/>
      <x:c r="AP34" s="130"/>
      <x:c r="AQ34" s="130"/>
      <x:c r="AR34" s="130"/>
      <x:c r="AS34" s="130"/>
      <x:c r="AT34" s="130"/>
      <x:c r="AU34" s="130"/>
      <x:c r="AV34" s="130"/>
      <x:c r="AW34" s="130"/>
      <x:c r="AX34" s="130"/>
      <x:c r="AY34" s="130"/>
      <x:c r="AZ34" s="130"/>
    </x:row>
    <x:row r="35">
      <x:c r="A35" s="130"/>
      <x:c r="B35" s="130"/>
      <x:c r="C35" s="130"/>
      <x:c r="D35" s="130"/>
      <x:c r="E35" s="130"/>
      <x:c r="F35" s="130"/>
      <x:c r="G35" s="130"/>
      <x:c r="H35" s="130"/>
      <x:c r="I35" s="130"/>
      <x:c r="J35" s="130"/>
      <x:c r="K35" s="130"/>
      <x:c r="L35" s="130"/>
      <x:c r="M35" s="130"/>
      <x:c r="N35" s="130"/>
      <x:c r="O35" s="130"/>
      <x:c r="P35" s="130"/>
      <x:c r="Q35" s="130"/>
      <x:c r="R35" s="130"/>
      <x:c r="S35" s="130"/>
      <x:c r="T35" s="130"/>
      <x:c r="U35" s="130"/>
      <x:c r="V35" s="130"/>
      <x:c r="W35" s="130"/>
      <x:c r="X35" s="130"/>
      <x:c r="Y35" s="130"/>
      <x:c r="Z35" s="130"/>
      <x:c r="AA35" s="130"/>
      <x:c r="AB35" s="130"/>
      <x:c r="AC35" s="130"/>
      <x:c r="AD35" s="130"/>
      <x:c r="AE35" s="130"/>
      <x:c r="AF35" s="130"/>
      <x:c r="AG35" s="130"/>
      <x:c r="AH35" s="130"/>
      <x:c r="AI35" s="130"/>
      <x:c r="AJ35" s="130"/>
      <x:c r="AK35" s="130"/>
      <x:c r="AL35" s="130"/>
      <x:c r="AM35" s="130"/>
      <x:c r="AN35" s="130"/>
      <x:c r="AO35" s="130"/>
      <x:c r="AP35" s="130"/>
      <x:c r="AQ35" s="130"/>
      <x:c r="AR35" s="130"/>
      <x:c r="AS35" s="130"/>
      <x:c r="AT35" s="130"/>
      <x:c r="AU35" s="130"/>
      <x:c r="AV35" s="130"/>
      <x:c r="AW35" s="130"/>
      <x:c r="AX35" s="130"/>
      <x:c r="AY35" s="130"/>
      <x:c r="AZ35" s="130"/>
    </x:row>
    <x:row r="36">
      <x:c r="A36" s="130"/>
      <x:c r="B36" s="130"/>
      <x:c r="C36" s="130"/>
      <x:c r="D36" s="130"/>
      <x:c r="E36" s="130"/>
      <x:c r="F36" s="130"/>
      <x:c r="G36" s="130"/>
      <x:c r="H36" s="130"/>
      <x:c r="I36" s="130"/>
      <x:c r="J36" s="130"/>
      <x:c r="K36" s="130"/>
      <x:c r="L36" s="130"/>
      <x:c r="M36" s="130"/>
      <x:c r="N36" s="130"/>
      <x:c r="O36" s="130"/>
      <x:c r="P36" s="130"/>
      <x:c r="Q36" s="130"/>
      <x:c r="R36" s="130"/>
      <x:c r="S36" s="130"/>
      <x:c r="T36" s="130"/>
      <x:c r="U36" s="130"/>
      <x:c r="V36" s="130"/>
      <x:c r="W36" s="130"/>
      <x:c r="X36" s="130"/>
      <x:c r="Y36" s="130"/>
      <x:c r="Z36" s="130"/>
      <x:c r="AA36" s="130"/>
      <x:c r="AB36" s="130"/>
      <x:c r="AC36" s="130"/>
      <x:c r="AD36" s="130"/>
      <x:c r="AE36" s="130"/>
      <x:c r="AF36" s="130"/>
      <x:c r="AG36" s="130"/>
      <x:c r="AH36" s="130"/>
      <x:c r="AI36" s="130"/>
      <x:c r="AJ36" s="130"/>
      <x:c r="AK36" s="130"/>
      <x:c r="AL36" s="130"/>
      <x:c r="AM36" s="130"/>
      <x:c r="AN36" s="130"/>
      <x:c r="AO36" s="130"/>
      <x:c r="AP36" s="130"/>
      <x:c r="AQ36" s="130"/>
      <x:c r="AR36" s="130"/>
      <x:c r="AS36" s="130"/>
      <x:c r="AT36" s="130"/>
      <x:c r="AU36" s="130"/>
      <x:c r="AV36" s="130"/>
      <x:c r="AW36" s="130"/>
      <x:c r="AX36" s="130"/>
      <x:c r="AY36" s="130"/>
      <x:c r="AZ36" s="130"/>
    </x:row>
    <x:row r="37">
      <x:c r="A37" s="130"/>
      <x:c r="B37" s="130"/>
      <x:c r="C37" s="130"/>
      <x:c r="D37" s="130"/>
      <x:c r="E37" s="130"/>
      <x:c r="F37" s="130"/>
      <x:c r="G37" s="130"/>
      <x:c r="H37" s="130"/>
      <x:c r="I37" s="130"/>
      <x:c r="J37" s="130"/>
      <x:c r="K37" s="130"/>
      <x:c r="L37" s="130"/>
      <x:c r="M37" s="130"/>
      <x:c r="N37" s="130"/>
      <x:c r="O37" s="130"/>
      <x:c r="P37" s="130"/>
      <x:c r="Q37" s="130"/>
      <x:c r="R37" s="130"/>
      <x:c r="S37" s="130"/>
      <x:c r="T37" s="130"/>
      <x:c r="U37" s="130"/>
      <x:c r="V37" s="130"/>
      <x:c r="W37" s="130"/>
      <x:c r="X37" s="130"/>
      <x:c r="Y37" s="130"/>
      <x:c r="Z37" s="130"/>
      <x:c r="AA37" s="130"/>
      <x:c r="AB37" s="130"/>
      <x:c r="AC37" s="130"/>
      <x:c r="AD37" s="130"/>
      <x:c r="AE37" s="130"/>
      <x:c r="AF37" s="130"/>
      <x:c r="AG37" s="130"/>
      <x:c r="AH37" s="130"/>
      <x:c r="AI37" s="130"/>
      <x:c r="AJ37" s="130"/>
      <x:c r="AK37" s="130"/>
      <x:c r="AL37" s="130"/>
      <x:c r="AM37" s="130"/>
      <x:c r="AN37" s="130"/>
      <x:c r="AO37" s="130"/>
      <x:c r="AP37" s="130"/>
      <x:c r="AQ37" s="130"/>
      <x:c r="AR37" s="130"/>
      <x:c r="AS37" s="130"/>
      <x:c r="AT37" s="130"/>
      <x:c r="AU37" s="130"/>
      <x:c r="AV37" s="130"/>
      <x:c r="AW37" s="130"/>
      <x:c r="AX37" s="130"/>
      <x:c r="AY37" s="130"/>
      <x:c r="AZ37" s="130"/>
    </x:row>
    <x:row r="38">
      <x:c r="A38" s="130"/>
      <x:c r="B38" s="130"/>
      <x:c r="C38" s="130"/>
      <x:c r="D38" s="130"/>
      <x:c r="E38" s="130"/>
      <x:c r="F38" s="130"/>
      <x:c r="G38" s="130"/>
      <x:c r="H38" s="130"/>
      <x:c r="I38" s="130"/>
      <x:c r="J38" s="130"/>
      <x:c r="K38" s="130"/>
      <x:c r="L38" s="130"/>
      <x:c r="M38" s="130"/>
      <x:c r="N38" s="130"/>
      <x:c r="O38" s="130"/>
      <x:c r="P38" s="130"/>
      <x:c r="Q38" s="130"/>
      <x:c r="R38" s="130"/>
      <x:c r="S38" s="130"/>
      <x:c r="T38" s="130"/>
      <x:c r="U38" s="130"/>
      <x:c r="V38" s="130"/>
      <x:c r="W38" s="130"/>
      <x:c r="X38" s="130"/>
      <x:c r="Y38" s="130"/>
      <x:c r="Z38" s="130"/>
      <x:c r="AA38" s="130"/>
      <x:c r="AB38" s="130"/>
      <x:c r="AC38" s="130"/>
      <x:c r="AD38" s="130"/>
      <x:c r="AE38" s="130"/>
      <x:c r="AF38" s="130"/>
      <x:c r="AG38" s="130"/>
      <x:c r="AH38" s="130"/>
      <x:c r="AI38" s="130"/>
      <x:c r="AJ38" s="130"/>
      <x:c r="AK38" s="130"/>
      <x:c r="AL38" s="130"/>
      <x:c r="AM38" s="130"/>
      <x:c r="AN38" s="130"/>
      <x:c r="AO38" s="130"/>
      <x:c r="AP38" s="130"/>
      <x:c r="AQ38" s="130"/>
      <x:c r="AR38" s="130"/>
      <x:c r="AS38" s="130"/>
      <x:c r="AT38" s="130"/>
      <x:c r="AU38" s="130"/>
      <x:c r="AV38" s="130"/>
      <x:c r="AW38" s="130"/>
      <x:c r="AX38" s="130"/>
      <x:c r="AY38" s="130"/>
      <x:c r="AZ38" s="130"/>
    </x:row>
    <x:row r="39">
      <x:c r="A39" s="130"/>
      <x:c r="B39" s="130"/>
      <x:c r="C39" s="130"/>
      <x:c r="D39" s="130"/>
      <x:c r="E39" s="130"/>
      <x:c r="F39" s="130"/>
      <x:c r="G39" s="130"/>
      <x:c r="H39" s="130"/>
      <x:c r="I39" s="130"/>
      <x:c r="J39" s="130"/>
      <x:c r="K39" s="130"/>
      <x:c r="L39" s="130"/>
      <x:c r="M39" s="130"/>
      <x:c r="N39" s="130"/>
      <x:c r="O39" s="130"/>
      <x:c r="P39" s="130"/>
      <x:c r="Q39" s="130"/>
      <x:c r="R39" s="130"/>
      <x:c r="S39" s="130"/>
      <x:c r="T39" s="130"/>
      <x:c r="U39" s="130"/>
      <x:c r="V39" s="130"/>
      <x:c r="W39" s="130"/>
      <x:c r="X39" s="130"/>
      <x:c r="Y39" s="130"/>
      <x:c r="Z39" s="130"/>
      <x:c r="AA39" s="130"/>
      <x:c r="AB39" s="130"/>
      <x:c r="AC39" s="130"/>
      <x:c r="AD39" s="130"/>
      <x:c r="AE39" s="130"/>
      <x:c r="AF39" s="130"/>
      <x:c r="AG39" s="130"/>
      <x:c r="AH39" s="130"/>
      <x:c r="AI39" s="130"/>
      <x:c r="AJ39" s="130"/>
      <x:c r="AK39" s="130"/>
      <x:c r="AL39" s="130"/>
      <x:c r="AM39" s="130"/>
      <x:c r="AN39" s="130"/>
      <x:c r="AO39" s="130"/>
      <x:c r="AP39" s="130"/>
      <x:c r="AQ39" s="130"/>
      <x:c r="AR39" s="130"/>
      <x:c r="AS39" s="130"/>
      <x:c r="AT39" s="130"/>
      <x:c r="AU39" s="130"/>
      <x:c r="AV39" s="130"/>
      <x:c r="AW39" s="130"/>
      <x:c r="AX39" s="130"/>
      <x:c r="AY39" s="130"/>
      <x:c r="AZ39" s="130"/>
    </x:row>
    <x:row r="40">
      <x:c r="A40" s="130"/>
      <x:c r="B40" s="130"/>
      <x:c r="C40" s="130"/>
      <x:c r="D40" s="130"/>
      <x:c r="E40" s="130"/>
      <x:c r="F40" s="130"/>
      <x:c r="G40" s="130"/>
      <x:c r="H40" s="130"/>
      <x:c r="I40" s="130"/>
      <x:c r="J40" s="130"/>
      <x:c r="K40" s="130"/>
      <x:c r="L40" s="130"/>
      <x:c r="M40" s="130"/>
      <x:c r="N40" s="130"/>
      <x:c r="O40" s="130"/>
      <x:c r="P40" s="130"/>
      <x:c r="Q40" s="130"/>
      <x:c r="R40" s="130"/>
      <x:c r="S40" s="130"/>
      <x:c r="T40" s="130"/>
      <x:c r="U40" s="130"/>
      <x:c r="V40" s="130"/>
      <x:c r="W40" s="130"/>
      <x:c r="X40" s="130"/>
      <x:c r="Y40" s="130"/>
      <x:c r="Z40" s="130"/>
      <x:c r="AA40" s="130"/>
      <x:c r="AB40" s="130"/>
      <x:c r="AC40" s="130"/>
      <x:c r="AD40" s="130"/>
      <x:c r="AE40" s="130"/>
      <x:c r="AF40" s="130"/>
      <x:c r="AG40" s="130"/>
      <x:c r="AH40" s="130"/>
      <x:c r="AI40" s="130"/>
      <x:c r="AJ40" s="130"/>
      <x:c r="AK40" s="130"/>
      <x:c r="AL40" s="130"/>
      <x:c r="AM40" s="130"/>
      <x:c r="AN40" s="130"/>
      <x:c r="AO40" s="130"/>
      <x:c r="AP40" s="130"/>
      <x:c r="AQ40" s="130"/>
      <x:c r="AR40" s="130"/>
      <x:c r="AS40" s="130"/>
      <x:c r="AT40" s="130"/>
      <x:c r="AU40" s="130"/>
      <x:c r="AV40" s="130"/>
      <x:c r="AW40" s="130"/>
      <x:c r="AX40" s="130"/>
      <x:c r="AY40" s="130"/>
      <x:c r="AZ40" s="130"/>
    </x:row>
    <x:row r="41">
      <x:c r="A41" s="130"/>
      <x:c r="B41" s="130"/>
      <x:c r="C41" s="130"/>
      <x:c r="D41" s="130"/>
      <x:c r="E41" s="130"/>
      <x:c r="F41" s="130"/>
      <x:c r="G41" s="130"/>
      <x:c r="H41" s="130"/>
      <x:c r="I41" s="130"/>
      <x:c r="J41" s="130"/>
      <x:c r="K41" s="130"/>
      <x:c r="L41" s="130"/>
      <x:c r="M41" s="130"/>
      <x:c r="N41" s="130"/>
      <x:c r="O41" s="130"/>
      <x:c r="P41" s="130"/>
      <x:c r="Q41" s="130"/>
      <x:c r="R41" s="130"/>
      <x:c r="S41" s="130"/>
      <x:c r="T41" s="130"/>
      <x:c r="U41" s="130"/>
      <x:c r="V41" s="130"/>
      <x:c r="W41" s="130"/>
      <x:c r="X41" s="130"/>
      <x:c r="Y41" s="130"/>
      <x:c r="Z41" s="130"/>
      <x:c r="AA41" s="130"/>
      <x:c r="AB41" s="130"/>
      <x:c r="AC41" s="130"/>
      <x:c r="AD41" s="130"/>
      <x:c r="AE41" s="130"/>
      <x:c r="AF41" s="130"/>
      <x:c r="AG41" s="130"/>
      <x:c r="AH41" s="130"/>
      <x:c r="AI41" s="130"/>
      <x:c r="AJ41" s="130"/>
      <x:c r="AK41" s="130"/>
      <x:c r="AL41" s="130"/>
      <x:c r="AM41" s="130"/>
      <x:c r="AN41" s="130"/>
      <x:c r="AO41" s="130"/>
      <x:c r="AP41" s="130"/>
      <x:c r="AQ41" s="130"/>
      <x:c r="AR41" s="130"/>
      <x:c r="AS41" s="130"/>
      <x:c r="AT41" s="130"/>
      <x:c r="AU41" s="130"/>
      <x:c r="AV41" s="130"/>
      <x:c r="AW41" s="130"/>
      <x:c r="AX41" s="130"/>
      <x:c r="AY41" s="130"/>
      <x:c r="AZ41" s="130"/>
    </x:row>
    <x:row r="42">
      <x:c r="A42" s="130"/>
      <x:c r="B42" s="130"/>
      <x:c r="C42" s="130"/>
      <x:c r="D42" s="130"/>
      <x:c r="E42" s="130"/>
      <x:c r="F42" s="130"/>
      <x:c r="G42" s="130"/>
      <x:c r="H42" s="130"/>
      <x:c r="I42" s="130"/>
      <x:c r="J42" s="130"/>
      <x:c r="K42" s="130"/>
      <x:c r="L42" s="130"/>
      <x:c r="M42" s="130"/>
      <x:c r="N42" s="130"/>
      <x:c r="O42" s="130"/>
      <x:c r="P42" s="130"/>
      <x:c r="Q42" s="130"/>
      <x:c r="R42" s="130"/>
      <x:c r="S42" s="130"/>
      <x:c r="T42" s="130"/>
      <x:c r="U42" s="130"/>
      <x:c r="V42" s="130"/>
      <x:c r="W42" s="130"/>
      <x:c r="X42" s="130"/>
      <x:c r="Y42" s="130"/>
      <x:c r="Z42" s="130"/>
      <x:c r="AA42" s="130"/>
      <x:c r="AB42" s="130"/>
      <x:c r="AC42" s="130"/>
      <x:c r="AD42" s="130"/>
      <x:c r="AE42" s="130"/>
      <x:c r="AF42" s="130"/>
      <x:c r="AG42" s="130"/>
      <x:c r="AH42" s="130"/>
      <x:c r="AI42" s="130"/>
      <x:c r="AJ42" s="130"/>
      <x:c r="AK42" s="130"/>
      <x:c r="AL42" s="130"/>
      <x:c r="AM42" s="130"/>
      <x:c r="AN42" s="130"/>
      <x:c r="AO42" s="130"/>
      <x:c r="AP42" s="130"/>
      <x:c r="AQ42" s="130"/>
      <x:c r="AR42" s="130"/>
      <x:c r="AS42" s="130"/>
      <x:c r="AT42" s="130"/>
      <x:c r="AU42" s="130"/>
      <x:c r="AV42" s="130"/>
      <x:c r="AW42" s="130"/>
      <x:c r="AX42" s="130"/>
      <x:c r="AY42" s="130"/>
      <x:c r="AZ42" s="130"/>
    </x:row>
    <x:row r="43">
      <x:c r="A43" s="130"/>
      <x:c r="B43" s="130"/>
      <x:c r="C43" s="130"/>
      <x:c r="D43" s="130"/>
      <x:c r="E43" s="130"/>
      <x:c r="F43" s="130"/>
      <x:c r="G43" s="130"/>
      <x:c r="H43" s="130"/>
      <x:c r="I43" s="130"/>
      <x:c r="J43" s="130"/>
      <x:c r="K43" s="130"/>
      <x:c r="L43" s="130"/>
      <x:c r="M43" s="130"/>
      <x:c r="N43" s="130"/>
      <x:c r="O43" s="130"/>
      <x:c r="P43" s="130"/>
      <x:c r="Q43" s="130"/>
      <x:c r="R43" s="130"/>
      <x:c r="S43" s="130"/>
      <x:c r="T43" s="130"/>
      <x:c r="U43" s="130"/>
      <x:c r="V43" s="130"/>
      <x:c r="W43" s="130"/>
      <x:c r="X43" s="130"/>
      <x:c r="Y43" s="130"/>
      <x:c r="Z43" s="130"/>
      <x:c r="AA43" s="130"/>
      <x:c r="AB43" s="130"/>
      <x:c r="AC43" s="130"/>
      <x:c r="AD43" s="130"/>
      <x:c r="AE43" s="130"/>
      <x:c r="AF43" s="130"/>
      <x:c r="AG43" s="130"/>
      <x:c r="AH43" s="130"/>
      <x:c r="AI43" s="130"/>
      <x:c r="AJ43" s="130"/>
      <x:c r="AK43" s="130"/>
      <x:c r="AL43" s="130"/>
      <x:c r="AM43" s="130"/>
      <x:c r="AN43" s="130"/>
      <x:c r="AO43" s="130"/>
      <x:c r="AP43" s="130"/>
      <x:c r="AQ43" s="130"/>
      <x:c r="AR43" s="130"/>
      <x:c r="AS43" s="130"/>
      <x:c r="AT43" s="130"/>
      <x:c r="AU43" s="130"/>
      <x:c r="AV43" s="130"/>
      <x:c r="AW43" s="130"/>
      <x:c r="AX43" s="130"/>
      <x:c r="AY43" s="130"/>
      <x:c r="AZ43" s="130"/>
    </x:row>
    <x:row r="44">
      <x:c r="A44" s="130"/>
      <x:c r="B44" s="130"/>
      <x:c r="C44" s="130"/>
      <x:c r="D44" s="130"/>
      <x:c r="E44" s="130"/>
      <x:c r="F44" s="130"/>
      <x:c r="G44" s="130"/>
      <x:c r="H44" s="130"/>
      <x:c r="I44" s="130"/>
      <x:c r="J44" s="130"/>
      <x:c r="K44" s="130"/>
      <x:c r="L44" s="130"/>
      <x:c r="M44" s="130"/>
      <x:c r="N44" s="130"/>
      <x:c r="O44" s="130"/>
      <x:c r="P44" s="130"/>
      <x:c r="Q44" s="130"/>
      <x:c r="R44" s="130"/>
      <x:c r="S44" s="130"/>
      <x:c r="T44" s="130"/>
      <x:c r="U44" s="130"/>
      <x:c r="V44" s="130"/>
      <x:c r="W44" s="130"/>
      <x:c r="X44" s="130"/>
      <x:c r="Y44" s="130"/>
      <x:c r="Z44" s="130"/>
      <x:c r="AA44" s="130"/>
      <x:c r="AB44" s="130"/>
      <x:c r="AC44" s="130"/>
      <x:c r="AD44" s="130"/>
      <x:c r="AE44" s="130"/>
      <x:c r="AF44" s="130"/>
      <x:c r="AG44" s="130"/>
      <x:c r="AH44" s="130"/>
      <x:c r="AI44" s="130"/>
      <x:c r="AJ44" s="130"/>
      <x:c r="AK44" s="130"/>
      <x:c r="AL44" s="130"/>
      <x:c r="AM44" s="130"/>
      <x:c r="AN44" s="130"/>
      <x:c r="AO44" s="130"/>
      <x:c r="AP44" s="130"/>
      <x:c r="AQ44" s="130"/>
      <x:c r="AR44" s="130"/>
      <x:c r="AS44" s="130"/>
      <x:c r="AT44" s="130"/>
      <x:c r="AU44" s="130"/>
      <x:c r="AV44" s="130"/>
      <x:c r="AW44" s="130"/>
      <x:c r="AX44" s="130"/>
      <x:c r="AY44" s="130"/>
      <x:c r="AZ44" s="130"/>
    </x:row>
    <x:row r="45">
      <x:c r="A45" s="130"/>
      <x:c r="B45" s="130"/>
      <x:c r="C45" s="130"/>
      <x:c r="D45" s="130"/>
      <x:c r="E45" s="130"/>
      <x:c r="F45" s="130"/>
      <x:c r="G45" s="130"/>
      <x:c r="H45" s="130"/>
      <x:c r="I45" s="130"/>
      <x:c r="J45" s="130"/>
      <x:c r="K45" s="130"/>
      <x:c r="L45" s="130"/>
      <x:c r="M45" s="130"/>
      <x:c r="N45" s="130"/>
      <x:c r="O45" s="130"/>
      <x:c r="P45" s="130"/>
      <x:c r="Q45" s="130"/>
      <x:c r="R45" s="130"/>
      <x:c r="S45" s="130"/>
      <x:c r="T45" s="130"/>
      <x:c r="U45" s="130"/>
      <x:c r="V45" s="130"/>
      <x:c r="W45" s="130"/>
      <x:c r="X45" s="130"/>
      <x:c r="Y45" s="130"/>
      <x:c r="Z45" s="130"/>
      <x:c r="AA45" s="130"/>
      <x:c r="AB45" s="130"/>
      <x:c r="AC45" s="130"/>
      <x:c r="AD45" s="130"/>
      <x:c r="AE45" s="130"/>
      <x:c r="AF45" s="130"/>
      <x:c r="AG45" s="130"/>
      <x:c r="AH45" s="130"/>
      <x:c r="AI45" s="130"/>
      <x:c r="AJ45" s="130"/>
      <x:c r="AK45" s="130"/>
      <x:c r="AL45" s="130"/>
      <x:c r="AM45" s="130"/>
      <x:c r="AN45" s="130"/>
      <x:c r="AO45" s="130"/>
      <x:c r="AP45" s="130"/>
      <x:c r="AQ45" s="130"/>
      <x:c r="AR45" s="130"/>
      <x:c r="AS45" s="130"/>
      <x:c r="AT45" s="130"/>
      <x:c r="AU45" s="130"/>
      <x:c r="AV45" s="130"/>
      <x:c r="AW45" s="130"/>
      <x:c r="AX45" s="130"/>
      <x:c r="AY45" s="130"/>
      <x:c r="AZ45" s="130"/>
    </x:row>
    <x:row r="46">
      <x:c r="A46" s="130"/>
      <x:c r="B46" s="130"/>
      <x:c r="C46" s="130"/>
      <x:c r="D46" s="130"/>
      <x:c r="E46" s="130"/>
      <x:c r="F46" s="130"/>
      <x:c r="G46" s="130"/>
      <x:c r="H46" s="130"/>
      <x:c r="I46" s="130"/>
      <x:c r="J46" s="130"/>
      <x:c r="K46" s="130"/>
      <x:c r="L46" s="130"/>
      <x:c r="M46" s="130"/>
      <x:c r="N46" s="130"/>
      <x:c r="O46" s="130"/>
      <x:c r="P46" s="130"/>
      <x:c r="Q46" s="130"/>
      <x:c r="R46" s="130"/>
      <x:c r="S46" s="130"/>
      <x:c r="T46" s="130"/>
      <x:c r="U46" s="130"/>
      <x:c r="V46" s="130"/>
      <x:c r="W46" s="130"/>
      <x:c r="X46" s="130"/>
      <x:c r="Y46" s="130"/>
      <x:c r="Z46" s="130"/>
      <x:c r="AA46" s="130"/>
      <x:c r="AB46" s="130"/>
      <x:c r="AC46" s="130"/>
      <x:c r="AD46" s="130"/>
      <x:c r="AE46" s="130"/>
      <x:c r="AF46" s="130"/>
      <x:c r="AG46" s="130"/>
      <x:c r="AH46" s="130"/>
      <x:c r="AI46" s="130"/>
      <x:c r="AJ46" s="130"/>
      <x:c r="AK46" s="130"/>
      <x:c r="AL46" s="130"/>
      <x:c r="AM46" s="130"/>
      <x:c r="AN46" s="130"/>
      <x:c r="AO46" s="130"/>
      <x:c r="AP46" s="130"/>
      <x:c r="AQ46" s="130"/>
      <x:c r="AR46" s="130"/>
      <x:c r="AS46" s="130"/>
      <x:c r="AT46" s="130"/>
      <x:c r="AU46" s="130"/>
      <x:c r="AV46" s="130"/>
      <x:c r="AW46" s="130"/>
      <x:c r="AX46" s="130"/>
      <x:c r="AY46" s="130"/>
      <x:c r="AZ46" s="130"/>
    </x:row>
    <x:row r="47">
      <x:c r="A47" s="130"/>
      <x:c r="B47" s="130"/>
      <x:c r="C47" s="130"/>
      <x:c r="D47" s="130"/>
      <x:c r="E47" s="130"/>
      <x:c r="F47" s="130"/>
      <x:c r="G47" s="130"/>
      <x:c r="H47" s="130"/>
      <x:c r="I47" s="130"/>
      <x:c r="J47" s="130"/>
      <x:c r="K47" s="130"/>
      <x:c r="L47" s="130"/>
      <x:c r="M47" s="130"/>
      <x:c r="N47" s="130"/>
      <x:c r="O47" s="130"/>
      <x:c r="P47" s="130"/>
      <x:c r="Q47" s="130"/>
      <x:c r="R47" s="130"/>
      <x:c r="S47" s="130"/>
      <x:c r="T47" s="130"/>
      <x:c r="U47" s="130"/>
      <x:c r="V47" s="130"/>
      <x:c r="W47" s="130"/>
      <x:c r="X47" s="130"/>
      <x:c r="Y47" s="130"/>
      <x:c r="Z47" s="130"/>
      <x:c r="AA47" s="130"/>
      <x:c r="AB47" s="130"/>
      <x:c r="AC47" s="130"/>
      <x:c r="AD47" s="130"/>
      <x:c r="AE47" s="130"/>
      <x:c r="AF47" s="130"/>
      <x:c r="AG47" s="130"/>
      <x:c r="AH47" s="130"/>
      <x:c r="AI47" s="130"/>
      <x:c r="AJ47" s="130"/>
      <x:c r="AK47" s="130"/>
      <x:c r="AL47" s="130"/>
      <x:c r="AM47" s="130"/>
      <x:c r="AN47" s="130"/>
      <x:c r="AO47" s="130"/>
      <x:c r="AP47" s="130"/>
      <x:c r="AQ47" s="130"/>
      <x:c r="AR47" s="130"/>
      <x:c r="AS47" s="130"/>
      <x:c r="AT47" s="130"/>
      <x:c r="AU47" s="130"/>
      <x:c r="AV47" s="130"/>
      <x:c r="AW47" s="130"/>
      <x:c r="AX47" s="130"/>
      <x:c r="AY47" s="130"/>
      <x:c r="AZ47" s="130"/>
    </x:row>
    <x:row r="48">
      <x:c r="A48" s="130"/>
      <x:c r="B48" s="130"/>
      <x:c r="C48" s="130"/>
      <x:c r="D48" s="130"/>
      <x:c r="E48" s="130"/>
      <x:c r="F48" s="130"/>
      <x:c r="G48" s="130"/>
      <x:c r="H48" s="130"/>
      <x:c r="I48" s="130"/>
      <x:c r="J48" s="130"/>
      <x:c r="K48" s="130"/>
      <x:c r="L48" s="130"/>
      <x:c r="M48" s="130"/>
      <x:c r="N48" s="130"/>
      <x:c r="O48" s="130"/>
      <x:c r="P48" s="130"/>
      <x:c r="Q48" s="130"/>
      <x:c r="R48" s="130"/>
      <x:c r="S48" s="130"/>
      <x:c r="T48" s="130"/>
      <x:c r="U48" s="130"/>
      <x:c r="V48" s="130"/>
      <x:c r="W48" s="130"/>
      <x:c r="X48" s="130"/>
      <x:c r="Y48" s="130"/>
      <x:c r="Z48" s="130"/>
      <x:c r="AA48" s="130"/>
      <x:c r="AB48" s="130"/>
      <x:c r="AC48" s="130"/>
      <x:c r="AD48" s="130"/>
      <x:c r="AE48" s="130"/>
      <x:c r="AF48" s="130"/>
      <x:c r="AG48" s="130"/>
      <x:c r="AH48" s="130"/>
      <x:c r="AI48" s="130"/>
      <x:c r="AJ48" s="130"/>
      <x:c r="AK48" s="130"/>
      <x:c r="AL48" s="130"/>
      <x:c r="AM48" s="130"/>
      <x:c r="AN48" s="130"/>
      <x:c r="AO48" s="130"/>
      <x:c r="AP48" s="130"/>
      <x:c r="AQ48" s="130"/>
      <x:c r="AR48" s="130"/>
      <x:c r="AS48" s="130"/>
      <x:c r="AT48" s="130"/>
      <x:c r="AU48" s="130"/>
      <x:c r="AV48" s="130"/>
      <x:c r="AW48" s="130"/>
      <x:c r="AX48" s="130"/>
      <x:c r="AY48" s="130"/>
      <x:c r="AZ48" s="130"/>
    </x:row>
    <x:row r="49">
      <x:c r="A49" s="130"/>
      <x:c r="B49" s="130"/>
      <x:c r="C49" s="130"/>
      <x:c r="D49" s="130"/>
      <x:c r="E49" s="130"/>
      <x:c r="F49" s="130"/>
      <x:c r="G49" s="130"/>
      <x:c r="H49" s="130"/>
      <x:c r="I49" s="130"/>
      <x:c r="J49" s="130"/>
      <x:c r="K49" s="130"/>
      <x:c r="L49" s="130"/>
      <x:c r="M49" s="130"/>
      <x:c r="N49" s="130"/>
      <x:c r="O49" s="130"/>
      <x:c r="P49" s="130"/>
      <x:c r="Q49" s="130"/>
      <x:c r="R49" s="130"/>
      <x:c r="S49" s="130"/>
      <x:c r="T49" s="130"/>
      <x:c r="U49" s="130"/>
      <x:c r="V49" s="130"/>
      <x:c r="W49" s="130"/>
      <x:c r="X49" s="130"/>
      <x:c r="Y49" s="130"/>
      <x:c r="Z49" s="130"/>
      <x:c r="AA49" s="130"/>
      <x:c r="AB49" s="130"/>
      <x:c r="AC49" s="130"/>
      <x:c r="AD49" s="130"/>
      <x:c r="AE49" s="130"/>
      <x:c r="AF49" s="130"/>
      <x:c r="AG49" s="130"/>
      <x:c r="AH49" s="130"/>
      <x:c r="AI49" s="130"/>
      <x:c r="AJ49" s="130"/>
      <x:c r="AK49" s="130"/>
      <x:c r="AL49" s="130"/>
      <x:c r="AM49" s="130"/>
      <x:c r="AN49" s="130"/>
      <x:c r="AO49" s="130"/>
      <x:c r="AP49" s="130"/>
      <x:c r="AQ49" s="130"/>
      <x:c r="AR49" s="130"/>
      <x:c r="AS49" s="130"/>
      <x:c r="AT49" s="130"/>
      <x:c r="AU49" s="130"/>
      <x:c r="AV49" s="130"/>
      <x:c r="AW49" s="130"/>
      <x:c r="AX49" s="130"/>
      <x:c r="AY49" s="130"/>
      <x:c r="AZ49" s="130"/>
    </x:row>
    <x:row r="50">
      <x:c r="A50" s="130"/>
      <x:c r="B50" s="130"/>
      <x:c r="C50" s="130"/>
      <x:c r="D50" s="130"/>
      <x:c r="E50" s="130"/>
      <x:c r="F50" s="130"/>
      <x:c r="G50" s="130"/>
      <x:c r="H50" s="130"/>
      <x:c r="I50" s="130"/>
      <x:c r="J50" s="130"/>
      <x:c r="K50" s="130"/>
      <x:c r="L50" s="130"/>
      <x:c r="M50" s="130"/>
      <x:c r="N50" s="130"/>
      <x:c r="O50" s="130"/>
      <x:c r="P50" s="130"/>
      <x:c r="Q50" s="130"/>
      <x:c r="R50" s="130"/>
      <x:c r="S50" s="130"/>
      <x:c r="T50" s="130"/>
      <x:c r="U50" s="130"/>
      <x:c r="V50" s="130"/>
      <x:c r="W50" s="130"/>
      <x:c r="X50" s="130"/>
      <x:c r="Y50" s="130"/>
      <x:c r="Z50" s="130"/>
      <x:c r="AA50" s="130"/>
      <x:c r="AB50" s="130"/>
      <x:c r="AC50" s="130"/>
      <x:c r="AD50" s="130"/>
      <x:c r="AE50" s="130"/>
      <x:c r="AF50" s="130"/>
      <x:c r="AG50" s="130"/>
      <x:c r="AH50" s="130"/>
      <x:c r="AI50" s="130"/>
      <x:c r="AJ50" s="130"/>
      <x:c r="AK50" s="130"/>
      <x:c r="AL50" s="130"/>
      <x:c r="AM50" s="130"/>
      <x:c r="AN50" s="130"/>
      <x:c r="AO50" s="130"/>
      <x:c r="AP50" s="130"/>
      <x:c r="AQ50" s="130"/>
      <x:c r="AR50" s="130"/>
      <x:c r="AS50" s="130"/>
      <x:c r="AT50" s="130"/>
      <x:c r="AU50" s="130"/>
      <x:c r="AV50" s="130"/>
      <x:c r="AW50" s="130"/>
      <x:c r="AX50" s="130"/>
      <x:c r="AY50" s="130"/>
      <x:c r="AZ50" s="130"/>
    </x:row>
    <x:row r="51">
      <x:c r="A51" s="130"/>
      <x:c r="B51" s="130"/>
      <x:c r="C51" s="130"/>
      <x:c r="D51" s="130"/>
      <x:c r="E51" s="130"/>
      <x:c r="F51" s="130"/>
      <x:c r="G51" s="130"/>
      <x:c r="H51" s="130"/>
      <x:c r="I51" s="130"/>
      <x:c r="J51" s="130"/>
      <x:c r="K51" s="130"/>
      <x:c r="L51" s="130"/>
      <x:c r="M51" s="130"/>
      <x:c r="N51" s="130"/>
      <x:c r="O51" s="130"/>
      <x:c r="P51" s="130"/>
      <x:c r="Q51" s="130"/>
      <x:c r="R51" s="130"/>
      <x:c r="S51" s="130"/>
      <x:c r="T51" s="130"/>
      <x:c r="U51" s="130"/>
      <x:c r="V51" s="130"/>
      <x:c r="W51" s="130"/>
      <x:c r="X51" s="130"/>
      <x:c r="Y51" s="130"/>
      <x:c r="Z51" s="130"/>
      <x:c r="AA51" s="130"/>
      <x:c r="AB51" s="130"/>
      <x:c r="AC51" s="130"/>
      <x:c r="AD51" s="130"/>
      <x:c r="AE51" s="130"/>
      <x:c r="AF51" s="130"/>
      <x:c r="AG51" s="130"/>
      <x:c r="AH51" s="130"/>
      <x:c r="AI51" s="130"/>
      <x:c r="AJ51" s="130"/>
      <x:c r="AK51" s="130"/>
      <x:c r="AL51" s="130"/>
      <x:c r="AM51" s="130"/>
      <x:c r="AN51" s="130"/>
      <x:c r="AO51" s="130"/>
      <x:c r="AP51" s="130"/>
      <x:c r="AQ51" s="130"/>
      <x:c r="AR51" s="130"/>
      <x:c r="AS51" s="130"/>
      <x:c r="AT51" s="130"/>
      <x:c r="AU51" s="130"/>
      <x:c r="AV51" s="130"/>
      <x:c r="AW51" s="130"/>
      <x:c r="AX51" s="130"/>
      <x:c r="AY51" s="130"/>
      <x:c r="AZ51" s="130"/>
    </x:row>
    <x:row r="52">
      <x:c r="A52" s="130"/>
      <x:c r="B52" s="130"/>
      <x:c r="C52" s="130"/>
      <x:c r="D52" s="130"/>
      <x:c r="E52" s="130"/>
      <x:c r="F52" s="130"/>
      <x:c r="G52" s="130"/>
      <x:c r="H52" s="130"/>
      <x:c r="I52" s="130"/>
      <x:c r="J52" s="130"/>
      <x:c r="K52" s="130"/>
      <x:c r="L52" s="130"/>
      <x:c r="M52" s="130"/>
      <x:c r="N52" s="130"/>
      <x:c r="O52" s="130"/>
      <x:c r="P52" s="130"/>
      <x:c r="Q52" s="130"/>
      <x:c r="R52" s="130"/>
      <x:c r="S52" s="130"/>
      <x:c r="T52" s="130"/>
      <x:c r="U52" s="130"/>
      <x:c r="V52" s="130"/>
      <x:c r="W52" s="130"/>
      <x:c r="X52" s="130"/>
      <x:c r="Y52" s="130"/>
      <x:c r="Z52" s="130"/>
      <x:c r="AA52" s="130"/>
      <x:c r="AB52" s="130"/>
      <x:c r="AC52" s="130"/>
      <x:c r="AD52" s="130"/>
      <x:c r="AE52" s="130"/>
      <x:c r="AF52" s="130"/>
      <x:c r="AG52" s="130"/>
      <x:c r="AH52" s="130"/>
      <x:c r="AI52" s="130"/>
      <x:c r="AJ52" s="130"/>
      <x:c r="AK52" s="130"/>
      <x:c r="AL52" s="130"/>
      <x:c r="AM52" s="130"/>
      <x:c r="AN52" s="130"/>
      <x:c r="AO52" s="130"/>
      <x:c r="AP52" s="130"/>
      <x:c r="AQ52" s="130"/>
      <x:c r="AR52" s="130"/>
      <x:c r="AS52" s="130"/>
      <x:c r="AT52" s="130"/>
      <x:c r="AU52" s="130"/>
      <x:c r="AV52" s="130"/>
      <x:c r="AW52" s="130"/>
      <x:c r="AX52" s="130"/>
      <x:c r="AY52" s="130"/>
      <x:c r="AZ52" s="130"/>
    </x:row>
    <x:row r="53">
      <x:c r="A53" s="130"/>
      <x:c r="B53" s="130"/>
      <x:c r="C53" s="130"/>
      <x:c r="D53" s="130"/>
      <x:c r="E53" s="130"/>
      <x:c r="F53" s="130"/>
      <x:c r="G53" s="130"/>
      <x:c r="H53" s="130"/>
      <x:c r="I53" s="130"/>
      <x:c r="J53" s="130"/>
      <x:c r="K53" s="130"/>
      <x:c r="L53" s="130"/>
      <x:c r="M53" s="130"/>
      <x:c r="N53" s="130"/>
      <x:c r="O53" s="130"/>
      <x:c r="P53" s="130"/>
      <x:c r="Q53" s="130"/>
      <x:c r="R53" s="130"/>
      <x:c r="S53" s="130"/>
      <x:c r="T53" s="130"/>
      <x:c r="U53" s="130"/>
      <x:c r="V53" s="130"/>
      <x:c r="W53" s="130"/>
      <x:c r="X53" s="130"/>
      <x:c r="Y53" s="130"/>
      <x:c r="Z53" s="130"/>
      <x:c r="AA53" s="130"/>
      <x:c r="AB53" s="130"/>
      <x:c r="AC53" s="130"/>
      <x:c r="AD53" s="130"/>
      <x:c r="AE53" s="130"/>
      <x:c r="AF53" s="130"/>
      <x:c r="AG53" s="130"/>
      <x:c r="AH53" s="130"/>
      <x:c r="AI53" s="130"/>
      <x:c r="AJ53" s="130"/>
      <x:c r="AK53" s="130"/>
      <x:c r="AL53" s="130"/>
      <x:c r="AM53" s="130"/>
      <x:c r="AN53" s="130"/>
      <x:c r="AO53" s="130"/>
      <x:c r="AP53" s="130"/>
      <x:c r="AQ53" s="130"/>
      <x:c r="AR53" s="130"/>
      <x:c r="AS53" s="130"/>
      <x:c r="AT53" s="130"/>
      <x:c r="AU53" s="130"/>
      <x:c r="AV53" s="130"/>
      <x:c r="AW53" s="130"/>
      <x:c r="AX53" s="130"/>
      <x:c r="AY53" s="130"/>
      <x:c r="AZ53" s="130"/>
    </x:row>
    <x:row r="54">
      <x:c r="A54" s="130"/>
      <x:c r="B54" s="130"/>
      <x:c r="C54" s="130"/>
      <x:c r="D54" s="130"/>
      <x:c r="E54" s="130"/>
      <x:c r="F54" s="130"/>
      <x:c r="G54" s="130"/>
      <x:c r="H54" s="130"/>
      <x:c r="I54" s="130"/>
      <x:c r="J54" s="130"/>
      <x:c r="K54" s="130"/>
      <x:c r="L54" s="130"/>
      <x:c r="M54" s="130"/>
      <x:c r="N54" s="130"/>
      <x:c r="O54" s="130"/>
      <x:c r="P54" s="130"/>
      <x:c r="Q54" s="130"/>
      <x:c r="R54" s="130"/>
      <x:c r="S54" s="130"/>
      <x:c r="T54" s="130"/>
      <x:c r="U54" s="130"/>
      <x:c r="V54" s="130"/>
      <x:c r="W54" s="130"/>
      <x:c r="X54" s="130"/>
      <x:c r="Y54" s="130"/>
      <x:c r="Z54" s="130"/>
      <x:c r="AA54" s="130"/>
      <x:c r="AB54" s="130"/>
      <x:c r="AC54" s="130"/>
      <x:c r="AD54" s="130"/>
      <x:c r="AE54" s="130"/>
      <x:c r="AF54" s="130"/>
      <x:c r="AG54" s="130"/>
      <x:c r="AH54" s="130"/>
      <x:c r="AI54" s="130"/>
      <x:c r="AJ54" s="130"/>
      <x:c r="AK54" s="130"/>
      <x:c r="AL54" s="130"/>
      <x:c r="AM54" s="130"/>
      <x:c r="AN54" s="130"/>
      <x:c r="AO54" s="130"/>
      <x:c r="AP54" s="130"/>
      <x:c r="AQ54" s="130"/>
      <x:c r="AR54" s="130"/>
      <x:c r="AS54" s="130"/>
      <x:c r="AT54" s="130"/>
      <x:c r="AU54" s="130"/>
      <x:c r="AV54" s="130"/>
      <x:c r="AW54" s="130"/>
      <x:c r="AX54" s="130"/>
      <x:c r="AY54" s="130"/>
      <x:c r="AZ54" s="130"/>
    </x:row>
    <x:row r="55">
      <x:c r="A55" s="130"/>
      <x:c r="B55" s="130"/>
      <x:c r="C55" s="130"/>
      <x:c r="D55" s="130"/>
      <x:c r="E55" s="130"/>
      <x:c r="F55" s="130"/>
      <x:c r="G55" s="130"/>
      <x:c r="H55" s="130"/>
      <x:c r="I55" s="130"/>
      <x:c r="J55" s="130"/>
      <x:c r="K55" s="130"/>
      <x:c r="L55" s="130"/>
      <x:c r="M55" s="130"/>
      <x:c r="N55" s="130"/>
      <x:c r="O55" s="130"/>
      <x:c r="P55" s="130"/>
      <x:c r="Q55" s="130"/>
      <x:c r="R55" s="130"/>
      <x:c r="S55" s="130"/>
      <x:c r="T55" s="130"/>
      <x:c r="U55" s="130"/>
      <x:c r="V55" s="130"/>
      <x:c r="W55" s="130"/>
      <x:c r="X55" s="130"/>
      <x:c r="Y55" s="130"/>
      <x:c r="Z55" s="130"/>
      <x:c r="AA55" s="130"/>
      <x:c r="AB55" s="130"/>
      <x:c r="AC55" s="130"/>
      <x:c r="AD55" s="130"/>
      <x:c r="AE55" s="130"/>
      <x:c r="AF55" s="130"/>
      <x:c r="AG55" s="130"/>
      <x:c r="AH55" s="130"/>
      <x:c r="AI55" s="130"/>
      <x:c r="AJ55" s="130"/>
      <x:c r="AK55" s="130"/>
      <x:c r="AL55" s="130"/>
      <x:c r="AM55" s="130"/>
      <x:c r="AN55" s="130"/>
      <x:c r="AO55" s="130"/>
      <x:c r="AP55" s="130"/>
      <x:c r="AQ55" s="130"/>
      <x:c r="AR55" s="130"/>
      <x:c r="AS55" s="130"/>
      <x:c r="AT55" s="130"/>
      <x:c r="AU55" s="130"/>
      <x:c r="AV55" s="130"/>
      <x:c r="AW55" s="130"/>
      <x:c r="AX55" s="130"/>
      <x:c r="AY55" s="130"/>
      <x:c r="AZ55" s="130"/>
    </x:row>
    <x:row r="56">
      <x:c r="A56" s="130"/>
      <x:c r="B56" s="130"/>
      <x:c r="C56" s="130"/>
      <x:c r="D56" s="130"/>
      <x:c r="E56" s="130"/>
      <x:c r="F56" s="130"/>
      <x:c r="G56" s="130"/>
      <x:c r="H56" s="130"/>
      <x:c r="I56" s="130"/>
      <x:c r="J56" s="130"/>
      <x:c r="K56" s="130"/>
      <x:c r="L56" s="130"/>
      <x:c r="M56" s="130"/>
      <x:c r="N56" s="130"/>
      <x:c r="O56" s="130"/>
      <x:c r="P56" s="130"/>
      <x:c r="Q56" s="130"/>
      <x:c r="R56" s="130"/>
      <x:c r="S56" s="130"/>
      <x:c r="T56" s="130"/>
      <x:c r="U56" s="130"/>
      <x:c r="V56" s="130"/>
      <x:c r="W56" s="130"/>
      <x:c r="X56" s="130"/>
      <x:c r="Y56" s="130"/>
      <x:c r="Z56" s="130"/>
      <x:c r="AA56" s="130"/>
      <x:c r="AB56" s="130"/>
      <x:c r="AC56" s="130"/>
      <x:c r="AD56" s="130"/>
      <x:c r="AE56" s="130"/>
      <x:c r="AF56" s="130"/>
      <x:c r="AG56" s="130"/>
      <x:c r="AH56" s="130"/>
      <x:c r="AI56" s="130"/>
      <x:c r="AJ56" s="130"/>
      <x:c r="AK56" s="130"/>
      <x:c r="AL56" s="130"/>
      <x:c r="AM56" s="130"/>
      <x:c r="AN56" s="130"/>
      <x:c r="AO56" s="130"/>
      <x:c r="AP56" s="130"/>
      <x:c r="AQ56" s="130"/>
      <x:c r="AR56" s="130"/>
      <x:c r="AS56" s="130"/>
      <x:c r="AT56" s="130"/>
      <x:c r="AU56" s="130"/>
      <x:c r="AV56" s="130"/>
      <x:c r="AW56" s="130"/>
      <x:c r="AX56" s="130"/>
      <x:c r="AY56" s="130"/>
      <x:c r="AZ56" s="130"/>
    </x:row>
    <x:row r="57">
      <x:c r="A57" s="130"/>
      <x:c r="B57" s="130"/>
      <x:c r="C57" s="130"/>
      <x:c r="D57" s="130"/>
      <x:c r="E57" s="130"/>
      <x:c r="F57" s="130"/>
      <x:c r="G57" s="130"/>
      <x:c r="H57" s="130"/>
      <x:c r="I57" s="130"/>
      <x:c r="J57" s="130"/>
      <x:c r="K57" s="130"/>
      <x:c r="L57" s="130"/>
      <x:c r="M57" s="130"/>
      <x:c r="N57" s="130"/>
      <x:c r="O57" s="130"/>
      <x:c r="P57" s="130"/>
      <x:c r="Q57" s="130"/>
      <x:c r="R57" s="130"/>
      <x:c r="S57" s="130"/>
      <x:c r="T57" s="130"/>
      <x:c r="U57" s="130"/>
      <x:c r="V57" s="130"/>
      <x:c r="W57" s="130"/>
      <x:c r="X57" s="130"/>
      <x:c r="Y57" s="130"/>
      <x:c r="Z57" s="130"/>
      <x:c r="AA57" s="130"/>
      <x:c r="AB57" s="130"/>
      <x:c r="AC57" s="130"/>
      <x:c r="AD57" s="130"/>
      <x:c r="AE57" s="130"/>
      <x:c r="AF57" s="130"/>
      <x:c r="AG57" s="130"/>
      <x:c r="AH57" s="130"/>
      <x:c r="AI57" s="130"/>
      <x:c r="AJ57" s="130"/>
      <x:c r="AK57" s="130"/>
      <x:c r="AL57" s="130"/>
      <x:c r="AM57" s="130"/>
      <x:c r="AN57" s="130"/>
      <x:c r="AO57" s="130"/>
      <x:c r="AP57" s="130"/>
      <x:c r="AQ57" s="130"/>
      <x:c r="AR57" s="130"/>
      <x:c r="AS57" s="130"/>
      <x:c r="AT57" s="130"/>
      <x:c r="AU57" s="130"/>
      <x:c r="AV57" s="130"/>
      <x:c r="AW57" s="130"/>
      <x:c r="AX57" s="130"/>
      <x:c r="AY57" s="130"/>
      <x:c r="AZ57" s="130"/>
    </x:row>
    <x:row r="58">
      <x:c r="A58" s="130"/>
      <x:c r="B58" s="130"/>
      <x:c r="C58" s="130"/>
      <x:c r="D58" s="130"/>
      <x:c r="E58" s="130"/>
      <x:c r="F58" s="130"/>
      <x:c r="G58" s="130"/>
      <x:c r="H58" s="130"/>
      <x:c r="I58" s="130"/>
      <x:c r="J58" s="130"/>
      <x:c r="K58" s="130"/>
      <x:c r="L58" s="130"/>
      <x:c r="M58" s="130"/>
      <x:c r="N58" s="130"/>
      <x:c r="O58" s="130"/>
      <x:c r="P58" s="130"/>
      <x:c r="Q58" s="130"/>
      <x:c r="R58" s="130"/>
      <x:c r="S58" s="130"/>
      <x:c r="T58" s="130"/>
      <x:c r="U58" s="130"/>
      <x:c r="V58" s="130"/>
      <x:c r="W58" s="130"/>
      <x:c r="X58" s="130"/>
      <x:c r="Y58" s="130"/>
      <x:c r="Z58" s="130"/>
      <x:c r="AA58" s="130"/>
      <x:c r="AB58" s="130"/>
      <x:c r="AC58" s="130"/>
      <x:c r="AD58" s="130"/>
      <x:c r="AE58" s="130"/>
      <x:c r="AF58" s="130"/>
      <x:c r="AG58" s="130"/>
      <x:c r="AH58" s="130"/>
      <x:c r="AI58" s="130"/>
      <x:c r="AJ58" s="130"/>
      <x:c r="AK58" s="130"/>
      <x:c r="AL58" s="130"/>
      <x:c r="AM58" s="130"/>
      <x:c r="AN58" s="130"/>
      <x:c r="AO58" s="130"/>
      <x:c r="AP58" s="130"/>
      <x:c r="AQ58" s="130"/>
      <x:c r="AR58" s="130"/>
      <x:c r="AS58" s="130"/>
      <x:c r="AT58" s="130"/>
      <x:c r="AU58" s="130"/>
      <x:c r="AV58" s="130"/>
      <x:c r="AW58" s="130"/>
      <x:c r="AX58" s="130"/>
      <x:c r="AY58" s="130"/>
      <x:c r="AZ58" s="130"/>
    </x:row>
    <x:row r="59">
      <x:c r="A59" s="130"/>
      <x:c r="B59" s="130"/>
      <x:c r="C59" s="130"/>
      <x:c r="D59" s="130"/>
      <x:c r="E59" s="130"/>
      <x:c r="F59" s="130"/>
      <x:c r="G59" s="130"/>
      <x:c r="H59" s="130"/>
      <x:c r="I59" s="130"/>
      <x:c r="J59" s="130"/>
      <x:c r="K59" s="130"/>
      <x:c r="L59" s="130"/>
      <x:c r="M59" s="130"/>
      <x:c r="N59" s="130"/>
      <x:c r="O59" s="130"/>
      <x:c r="P59" s="130"/>
      <x:c r="Q59" s="130"/>
      <x:c r="R59" s="130"/>
      <x:c r="S59" s="130"/>
      <x:c r="T59" s="130"/>
      <x:c r="U59" s="130"/>
      <x:c r="V59" s="130"/>
      <x:c r="W59" s="130"/>
      <x:c r="X59" s="130"/>
      <x:c r="Y59" s="130"/>
      <x:c r="Z59" s="130"/>
      <x:c r="AA59" s="130"/>
      <x:c r="AB59" s="130"/>
      <x:c r="AC59" s="130"/>
      <x:c r="AD59" s="130"/>
      <x:c r="AE59" s="130"/>
      <x:c r="AF59" s="130"/>
      <x:c r="AG59" s="130"/>
      <x:c r="AH59" s="130"/>
      <x:c r="AI59" s="130"/>
      <x:c r="AJ59" s="130"/>
      <x:c r="AK59" s="130"/>
      <x:c r="AL59" s="130"/>
      <x:c r="AM59" s="130"/>
      <x:c r="AN59" s="130"/>
      <x:c r="AO59" s="130"/>
      <x:c r="AP59" s="130"/>
      <x:c r="AQ59" s="130"/>
      <x:c r="AR59" s="130"/>
      <x:c r="AS59" s="130"/>
      <x:c r="AT59" s="130"/>
      <x:c r="AU59" s="130"/>
      <x:c r="AV59" s="130"/>
      <x:c r="AW59" s="130"/>
      <x:c r="AX59" s="130"/>
      <x:c r="AY59" s="130"/>
      <x:c r="AZ59" s="130"/>
    </x:row>
    <x:row r="60">
      <x:c r="A60" s="130"/>
      <x:c r="B60" s="130"/>
      <x:c r="C60" s="130"/>
      <x:c r="D60" s="130"/>
      <x:c r="E60" s="130"/>
      <x:c r="F60" s="130"/>
      <x:c r="G60" s="130"/>
      <x:c r="H60" s="130"/>
      <x:c r="I60" s="130"/>
      <x:c r="J60" s="130"/>
      <x:c r="K60" s="130"/>
      <x:c r="L60" s="130"/>
      <x:c r="M60" s="130"/>
      <x:c r="N60" s="130"/>
      <x:c r="O60" s="130"/>
      <x:c r="P60" s="130"/>
      <x:c r="Q60" s="130"/>
      <x:c r="R60" s="130"/>
      <x:c r="S60" s="130"/>
      <x:c r="T60" s="130"/>
      <x:c r="U60" s="130"/>
      <x:c r="V60" s="130"/>
      <x:c r="W60" s="130"/>
      <x:c r="X60" s="130"/>
      <x:c r="Y60" s="130"/>
      <x:c r="Z60" s="130"/>
      <x:c r="AA60" s="130"/>
      <x:c r="AB60" s="130"/>
      <x:c r="AC60" s="130"/>
      <x:c r="AD60" s="130"/>
      <x:c r="AE60" s="130"/>
      <x:c r="AF60" s="130"/>
      <x:c r="AG60" s="130"/>
      <x:c r="AH60" s="130"/>
      <x:c r="AI60" s="130"/>
      <x:c r="AJ60" s="130"/>
      <x:c r="AK60" s="130"/>
      <x:c r="AL60" s="130"/>
      <x:c r="AM60" s="130"/>
      <x:c r="AN60" s="130"/>
      <x:c r="AO60" s="130"/>
      <x:c r="AP60" s="130"/>
      <x:c r="AQ60" s="130"/>
      <x:c r="AR60" s="130"/>
      <x:c r="AS60" s="130"/>
      <x:c r="AT60" s="130"/>
      <x:c r="AU60" s="130"/>
      <x:c r="AV60" s="130"/>
      <x:c r="AW60" s="130"/>
      <x:c r="AX60" s="130"/>
      <x:c r="AY60" s="130"/>
      <x:c r="AZ60" s="130"/>
    </x:row>
  </x:sheetData>
  <x:mergeCells>
    <x:mergeCell ref="A1:H2"/>
    <x:mergeCell ref="A3:H3"/>
    <x:mergeCell ref="A5:H5"/>
    <x:mergeCell ref="A6:H8"/>
    <x:mergeCell ref="A10:H10"/>
    <x:mergeCell ref="D10:H10"/>
    <x:mergeCell ref="A22:H22"/>
    <x:mergeCell ref="A23:H26"/>
    <x:mergeCell ref="A28:H28"/>
    <x:mergeCell ref="A29:H3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30"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34" hidden="0" customWidth="1"/>
    <x:col min="14" max="14" width="34" hidden="0" customWidth="1"/>
  </x:cols>
  <x:sheetData>
    <x:row r="1">
      <x:c r="A1" s="5" t="str">
        <x:v>Scenario presets: editable site contexts</x:v>
      </x:c>
      <x:c r="B1" s="5"/>
      <x:c r="C1" s="5"/>
      <x:c r="D1" s="5"/>
      <x:c r="E1" s="5"/>
      <x:c r="F1" s="5"/>
      <x:c r="G1" s="5"/>
      <x:c r="H1" s="5"/>
      <x:c r="I1" s="5"/>
      <x:c r="J1" s="5"/>
      <x:c r="K1" s="5"/>
      <x:c r="L1" s="5"/>
      <x:c r="M1" s="5"/>
      <x:c r="N1" s="5"/>
      <x:c r="O1" s="130"/>
      <x:c r="P1" s="130"/>
      <x:c r="Q1" s="130"/>
      <x:c r="R1" s="130"/>
      <x:c r="S1" s="130"/>
      <x:c r="T1" s="130"/>
      <x:c r="U1" s="130"/>
      <x:c r="V1" s="130"/>
      <x:c r="W1" s="130"/>
      <x:c r="X1" s="130"/>
      <x:c r="Y1" s="130"/>
      <x:c r="Z1" s="130"/>
      <x:c r="AA1" s="130"/>
      <x:c r="AB1" s="130"/>
      <x:c r="AC1" s="130"/>
      <x:c r="AD1" s="130"/>
      <x:c r="AE1" s="130"/>
      <x:c r="AF1" s="130"/>
      <x:c r="AG1" s="130"/>
      <x:c r="AH1" s="130"/>
      <x:c r="AI1" s="130"/>
      <x:c r="AJ1" s="130"/>
      <x:c r="AK1" s="130"/>
      <x:c r="AL1" s="130"/>
      <x:c r="AM1" s="130"/>
      <x:c r="AN1" s="130"/>
      <x:c r="AO1" s="130"/>
      <x:c r="AP1" s="130"/>
      <x:c r="AQ1" s="130"/>
      <x:c r="AR1" s="130"/>
      <x:c r="AS1" s="130"/>
      <x:c r="AT1" s="130"/>
      <x:c r="AU1" s="130"/>
      <x:c r="AV1" s="130"/>
      <x:c r="AW1" s="130"/>
      <x:c r="AX1" s="130"/>
      <x:c r="AY1" s="130"/>
      <x:c r="AZ1" s="130"/>
    </x:row>
    <x:row r="2">
      <x:c r="A2" s="5"/>
      <x:c r="B2" s="5"/>
      <x:c r="C2" s="5"/>
      <x:c r="D2" s="5"/>
      <x:c r="E2" s="5"/>
      <x:c r="F2" s="5"/>
      <x:c r="G2" s="5"/>
      <x:c r="H2" s="5"/>
      <x:c r="I2" s="5"/>
      <x:c r="J2" s="5"/>
      <x:c r="K2" s="5"/>
      <x:c r="L2" s="5"/>
      <x:c r="M2" s="5"/>
      <x:c r="N2" s="5"/>
      <x:c r="O2" s="130"/>
      <x:c r="P2" s="130"/>
      <x:c r="Q2" s="130"/>
      <x:c r="R2" s="130"/>
      <x:c r="S2" s="130"/>
      <x:c r="T2" s="130"/>
      <x:c r="U2" s="130"/>
      <x:c r="V2" s="130"/>
      <x:c r="W2" s="130"/>
      <x:c r="X2" s="130"/>
      <x:c r="Y2" s="130"/>
      <x:c r="Z2" s="130"/>
      <x:c r="AA2" s="130"/>
      <x:c r="AB2" s="130"/>
      <x:c r="AC2" s="130"/>
      <x:c r="AD2" s="130"/>
      <x:c r="AE2" s="130"/>
      <x:c r="AF2" s="130"/>
      <x:c r="AG2" s="130"/>
      <x:c r="AH2" s="130"/>
      <x:c r="AI2" s="130"/>
      <x:c r="AJ2" s="130"/>
      <x:c r="AK2" s="130"/>
      <x:c r="AL2" s="130"/>
      <x:c r="AM2" s="130"/>
      <x:c r="AN2" s="130"/>
      <x:c r="AO2" s="130"/>
      <x:c r="AP2" s="130"/>
      <x:c r="AQ2" s="130"/>
      <x:c r="AR2" s="130"/>
      <x:c r="AS2" s="130"/>
      <x:c r="AT2" s="130"/>
      <x:c r="AU2" s="130"/>
      <x:c r="AV2" s="130"/>
      <x:c r="AW2" s="130"/>
      <x:c r="AX2" s="130"/>
      <x:c r="AY2" s="130"/>
      <x:c r="AZ2" s="130"/>
    </x:row>
    <x:row r="3">
      <x:c r="A3" s="130"/>
      <x:c r="B3" s="130"/>
      <x:c r="C3" s="130"/>
      <x:c r="D3" s="130"/>
      <x:c r="E3" s="130"/>
      <x:c r="F3" s="130"/>
      <x:c r="G3" s="130"/>
      <x:c r="H3" s="130"/>
      <x:c r="I3" s="130"/>
      <x:c r="J3" s="130"/>
      <x:c r="K3" s="130"/>
      <x:c r="L3" s="130"/>
      <x:c r="M3" s="130"/>
      <x:c r="N3" s="130"/>
      <x:c r="O3" s="130"/>
      <x:c r="P3" s="130"/>
      <x:c r="Q3" s="130"/>
      <x:c r="R3" s="130"/>
      <x:c r="S3" s="130"/>
      <x:c r="T3" s="130"/>
      <x:c r="U3" s="130"/>
      <x:c r="V3" s="130"/>
      <x:c r="W3" s="130"/>
      <x:c r="X3" s="130"/>
      <x:c r="Y3" s="130"/>
      <x:c r="Z3" s="130"/>
      <x:c r="AA3" s="130"/>
      <x:c r="AB3" s="130"/>
      <x:c r="AC3" s="130"/>
      <x:c r="AD3" s="130"/>
      <x:c r="AE3" s="130"/>
      <x:c r="AF3" s="130"/>
      <x:c r="AG3" s="130"/>
      <x:c r="AH3" s="130"/>
      <x:c r="AI3" s="130"/>
      <x:c r="AJ3" s="130"/>
      <x:c r="AK3" s="130"/>
      <x:c r="AL3" s="130"/>
      <x:c r="AM3" s="130"/>
      <x:c r="AN3" s="130"/>
      <x:c r="AO3" s="130"/>
      <x:c r="AP3" s="130"/>
      <x:c r="AQ3" s="130"/>
      <x:c r="AR3" s="130"/>
      <x:c r="AS3" s="130"/>
      <x:c r="AT3" s="130"/>
      <x:c r="AU3" s="130"/>
      <x:c r="AV3" s="130"/>
      <x:c r="AW3" s="130"/>
      <x:c r="AX3" s="130"/>
      <x:c r="AY3" s="130"/>
      <x:c r="AZ3" s="130"/>
    </x:row>
    <x:row r="4">
      <x:c r="A4" s="32" t="str">
        <x:v>Context_ID</x:v>
      </x:c>
      <x:c r="B4" s="32" t="str">
        <x:v>Site_Context</x:v>
      </x:c>
      <x:c r="C4" s="32" t="str">
        <x:v>Working_Days</x:v>
      </x:c>
      <x:c r="D4" s="32" t="str">
        <x:v>Shift_Hours</x:v>
      </x:c>
      <x:c r="E4" s="32" t="str">
        <x:v>Idle_Percent</x:v>
      </x:c>
      <x:c r="F4" s="32" t="str">
        <x:v>Temporary_Power_kWh_per_day</x:v>
      </x:c>
      <x:c r="G4" s="32" t="str">
        <x:v>Grid_Availability</x:v>
      </x:c>
      <x:c r="H4" s="32" t="str">
        <x:v>Grid_Carbon_kgCO2e_per_kWh</x:v>
      </x:c>
      <x:c r="I4" s="32" t="str">
        <x:v>Diesel_Price_GBP_per_L</x:v>
      </x:c>
      <x:c r="J4" s="32" t="str">
        <x:v>Electricity_Price_GBP_per_kWh</x:v>
      </x:c>
      <x:c r="K4" s="32" t="str">
        <x:v>Noise_Sensitivity</x:v>
      </x:c>
      <x:c r="L4" s="32" t="str">
        <x:v>Community_Sensitivity</x:v>
      </x:c>
      <x:c r="M4" s="32" t="str">
        <x:v>Data_Quality</x:v>
      </x:c>
      <x:c r="N4" s="32" t="str">
        <x:v>Context_Note</x:v>
      </x:c>
      <x:c r="O4" s="130"/>
      <x:c r="P4" s="130"/>
      <x:c r="Q4" s="130"/>
      <x:c r="R4" s="130"/>
      <x:c r="S4" s="130"/>
      <x:c r="T4" s="130"/>
      <x:c r="U4" s="130"/>
      <x:c r="V4" s="130"/>
      <x:c r="W4" s="130"/>
      <x:c r="X4" s="130"/>
      <x:c r="Y4" s="130"/>
      <x:c r="Z4" s="130"/>
      <x:c r="AA4" s="130"/>
      <x:c r="AB4" s="130"/>
      <x:c r="AC4" s="130"/>
      <x:c r="AD4" s="130"/>
      <x:c r="AE4" s="130"/>
      <x:c r="AF4" s="130"/>
      <x:c r="AG4" s="130"/>
      <x:c r="AH4" s="130"/>
      <x:c r="AI4" s="130"/>
      <x:c r="AJ4" s="130"/>
      <x:c r="AK4" s="130"/>
      <x:c r="AL4" s="130"/>
      <x:c r="AM4" s="130"/>
      <x:c r="AN4" s="130"/>
      <x:c r="AO4" s="130"/>
      <x:c r="AP4" s="130"/>
      <x:c r="AQ4" s="130"/>
      <x:c r="AR4" s="130"/>
      <x:c r="AS4" s="130"/>
      <x:c r="AT4" s="130"/>
      <x:c r="AU4" s="130"/>
      <x:c r="AV4" s="130"/>
      <x:c r="AW4" s="130"/>
      <x:c r="AX4" s="130"/>
      <x:c r="AY4" s="130"/>
      <x:c r="AZ4" s="130"/>
    </x:row>
    <x:row r="5">
      <x:c r="A5" s="131" t="str">
        <x:v>C1</x:v>
      </x:c>
      <x:c r="B5" s="131" t="str">
        <x:v>Urban site near a school</x:v>
      </x:c>
      <x:c r="C5" s="134" t="n">
        <x:v>30</x:v>
      </x:c>
      <x:c r="D5" s="134" t="n">
        <x:v>7</x:v>
      </x:c>
      <x:c r="E5" s="142" t="n">
        <x:v>0.2</x:v>
      </x:c>
      <x:c r="F5" s="134" t="n">
        <x:v>20</x:v>
      </x:c>
      <x:c r="G5" s="134" t="str">
        <x:v>Available</x:v>
      </x:c>
      <x:c r="H5" s="143" t="n">
        <x:v>0.13096</x:v>
      </x:c>
      <x:c r="I5" s="144" t="n">
        <x:v>1.55</x:v>
      </x:c>
      <x:c r="J5" s="144" t="n">
        <x:v>0.25</x:v>
      </x:c>
      <x:c r="K5" s="134" t="str">
        <x:v>High</x:v>
      </x:c>
      <x:c r="L5" s="134" t="str">
        <x:v>High</x:v>
      </x:c>
      <x:c r="M5" s="145" t="str">
        <x:v>Official factor + teaching assumptions</x:v>
      </x:c>
      <x:c r="N5" s="145" t="str">
        <x:v>Urban site with strong air-quality and noise concerns; suitable grid connection.</x:v>
      </x:c>
      <x:c r="O5" s="130"/>
      <x:c r="P5" s="130"/>
      <x:c r="Q5" s="130"/>
      <x:c r="R5" s="130"/>
      <x:c r="S5" s="130"/>
      <x:c r="T5" s="130"/>
      <x:c r="U5" s="130"/>
      <x:c r="V5" s="130"/>
      <x:c r="W5" s="130"/>
      <x:c r="X5" s="130"/>
      <x:c r="Y5" s="130"/>
      <x:c r="Z5" s="130"/>
      <x:c r="AA5" s="130"/>
      <x:c r="AB5" s="130"/>
      <x:c r="AC5" s="130"/>
      <x:c r="AD5" s="130"/>
      <x:c r="AE5" s="130"/>
      <x:c r="AF5" s="130"/>
      <x:c r="AG5" s="130"/>
      <x:c r="AH5" s="130"/>
      <x:c r="AI5" s="130"/>
      <x:c r="AJ5" s="130"/>
      <x:c r="AK5" s="130"/>
      <x:c r="AL5" s="130"/>
      <x:c r="AM5" s="130"/>
      <x:c r="AN5" s="130"/>
      <x:c r="AO5" s="130"/>
      <x:c r="AP5" s="130"/>
      <x:c r="AQ5" s="130"/>
      <x:c r="AR5" s="130"/>
      <x:c r="AS5" s="130"/>
      <x:c r="AT5" s="130"/>
      <x:c r="AU5" s="130"/>
      <x:c r="AV5" s="130"/>
      <x:c r="AW5" s="130"/>
      <x:c r="AX5" s="130"/>
      <x:c r="AY5" s="130"/>
      <x:c r="AZ5" s="130"/>
    </x:row>
    <x:row r="6">
      <x:c r="A6" s="131" t="str">
        <x:v>C2</x:v>
      </x:c>
      <x:c r="B6" s="131" t="str">
        <x:v>Remote infrastructure site</x:v>
      </x:c>
      <x:c r="C6" s="134" t="n">
        <x:v>45</x:v>
      </x:c>
      <x:c r="D6" s="134" t="n">
        <x:v>8</x:v>
      </x:c>
      <x:c r="E6" s="142" t="n">
        <x:v>0.15</x:v>
      </x:c>
      <x:c r="F6" s="134" t="n">
        <x:v>25</x:v>
      </x:c>
      <x:c r="G6" s="134" t="str">
        <x:v>Limited</x:v>
      </x:c>
      <x:c r="H6" s="143" t="n">
        <x:v>0.13096</x:v>
      </x:c>
      <x:c r="I6" s="144" t="n">
        <x:v>1.55</x:v>
      </x:c>
      <x:c r="J6" s="144" t="n">
        <x:v>0.3</x:v>
      </x:c>
      <x:c r="K6" s="134" t="str">
        <x:v>Low</x:v>
      </x:c>
      <x:c r="L6" s="134" t="str">
        <x:v>Low</x:v>
      </x:c>
      <x:c r="M6" s="145" t="str">
        <x:v>Official factor + teaching assumptions</x:v>
      </x:c>
      <x:c r="N6" s="145" t="str">
        <x:v>Grid access is limited; temporary power and charging logistics are important.</x:v>
      </x:c>
      <x:c r="O6" s="130"/>
      <x:c r="P6" s="130"/>
      <x:c r="Q6" s="130"/>
      <x:c r="R6" s="130"/>
      <x:c r="S6" s="130"/>
      <x:c r="T6" s="130"/>
      <x:c r="U6" s="130"/>
      <x:c r="V6" s="130"/>
      <x:c r="W6" s="130"/>
      <x:c r="X6" s="130"/>
      <x:c r="Y6" s="130"/>
      <x:c r="Z6" s="130"/>
      <x:c r="AA6" s="130"/>
      <x:c r="AB6" s="130"/>
      <x:c r="AC6" s="130"/>
      <x:c r="AD6" s="130"/>
      <x:c r="AE6" s="130"/>
      <x:c r="AF6" s="130"/>
      <x:c r="AG6" s="130"/>
      <x:c r="AH6" s="130"/>
      <x:c r="AI6" s="130"/>
      <x:c r="AJ6" s="130"/>
      <x:c r="AK6" s="130"/>
      <x:c r="AL6" s="130"/>
      <x:c r="AM6" s="130"/>
      <x:c r="AN6" s="130"/>
      <x:c r="AO6" s="130"/>
      <x:c r="AP6" s="130"/>
      <x:c r="AQ6" s="130"/>
      <x:c r="AR6" s="130"/>
      <x:c r="AS6" s="130"/>
      <x:c r="AT6" s="130"/>
      <x:c r="AU6" s="130"/>
      <x:c r="AV6" s="130"/>
      <x:c r="AW6" s="130"/>
      <x:c r="AX6" s="130"/>
      <x:c r="AY6" s="130"/>
      <x:c r="AZ6" s="130"/>
    </x:row>
    <x:row r="7">
      <x:c r="A7" s="131" t="str">
        <x:v>C3</x:v>
      </x:c>
      <x:c r="B7" s="131" t="str">
        <x:v>City-centre noise-restricted site</x:v>
      </x:c>
      <x:c r="C7" s="134" t="n">
        <x:v>25</x:v>
      </x:c>
      <x:c r="D7" s="134" t="n">
        <x:v>6</x:v>
      </x:c>
      <x:c r="E7" s="142" t="n">
        <x:v>0.15</x:v>
      </x:c>
      <x:c r="F7" s="134" t="n">
        <x:v>18</x:v>
      </x:c>
      <x:c r="G7" s="134" t="str">
        <x:v>Available</x:v>
      </x:c>
      <x:c r="H7" s="143" t="n">
        <x:v>0.13096</x:v>
      </x:c>
      <x:c r="I7" s="144" t="n">
        <x:v>1.55</x:v>
      </x:c>
      <x:c r="J7" s="144" t="n">
        <x:v>0.27</x:v>
      </x:c>
      <x:c r="K7" s="134" t="str">
        <x:v>Very high</x:v>
      </x:c>
      <x:c r="L7" s="134" t="str">
        <x:v>High</x:v>
      </x:c>
      <x:c r="M7" s="145" t="str">
        <x:v>Official factor + teaching assumptions</x:v>
      </x:c>
      <x:c r="N7" s="145" t="str">
        <x:v>Shorter working window and strong noise constraints favour quiet plant.</x:v>
      </x:c>
      <x:c r="O7" s="130"/>
      <x:c r="P7" s="130"/>
      <x:c r="Q7" s="130"/>
      <x:c r="R7" s="130"/>
      <x:c r="S7" s="130"/>
      <x:c r="T7" s="130"/>
      <x:c r="U7" s="130"/>
      <x:c r="V7" s="130"/>
      <x:c r="W7" s="130"/>
      <x:c r="X7" s="130"/>
      <x:c r="Y7" s="130"/>
      <x:c r="Z7" s="130"/>
      <x:c r="AA7" s="130"/>
      <x:c r="AB7" s="130"/>
      <x:c r="AC7" s="130"/>
      <x:c r="AD7" s="130"/>
      <x:c r="AE7" s="130"/>
      <x:c r="AF7" s="130"/>
      <x:c r="AG7" s="130"/>
      <x:c r="AH7" s="130"/>
      <x:c r="AI7" s="130"/>
      <x:c r="AJ7" s="130"/>
      <x:c r="AK7" s="130"/>
      <x:c r="AL7" s="130"/>
      <x:c r="AM7" s="130"/>
      <x:c r="AN7" s="130"/>
      <x:c r="AO7" s="130"/>
      <x:c r="AP7" s="130"/>
      <x:c r="AQ7" s="130"/>
      <x:c r="AR7" s="130"/>
      <x:c r="AS7" s="130"/>
      <x:c r="AT7" s="130"/>
      <x:c r="AU7" s="130"/>
      <x:c r="AV7" s="130"/>
      <x:c r="AW7" s="130"/>
      <x:c r="AX7" s="130"/>
      <x:c r="AY7" s="130"/>
      <x:c r="AZ7" s="130"/>
    </x:row>
    <x:row r="8">
      <x:c r="A8" s="131" t="str">
        <x:v>C4</x:v>
      </x:c>
      <x:c r="B8" s="131" t="str">
        <x:v>Tight-programme long-shift site</x:v>
      </x:c>
      <x:c r="C8" s="134" t="n">
        <x:v>20</x:v>
      </x:c>
      <x:c r="D8" s="134" t="n">
        <x:v>10</x:v>
      </x:c>
      <x:c r="E8" s="142" t="n">
        <x:v>0.1</x:v>
      </x:c>
      <x:c r="F8" s="134" t="n">
        <x:v>30</x:v>
      </x:c>
      <x:c r="G8" s="134" t="str">
        <x:v>Available</x:v>
      </x:c>
      <x:c r="H8" s="143" t="n">
        <x:v>0.13096</x:v>
      </x:c>
      <x:c r="I8" s="144" t="n">
        <x:v>1.55</x:v>
      </x:c>
      <x:c r="J8" s="144" t="n">
        <x:v>0.25</x:v>
      </x:c>
      <x:c r="K8" s="134" t="str">
        <x:v>Medium</x:v>
      </x:c>
      <x:c r="L8" s="134" t="str">
        <x:v>Medium</x:v>
      </x:c>
      <x:c r="M8" s="145" t="str">
        <x:v>Official factor + teaching assumptions</x:v>
      </x:c>
      <x:c r="N8" s="145" t="str">
        <x:v>Long shifts test battery runtime, charging and productivity assumptions.</x:v>
      </x:c>
      <x:c r="O8" s="130"/>
      <x:c r="P8" s="130"/>
      <x:c r="Q8" s="130"/>
      <x:c r="R8" s="130"/>
      <x:c r="S8" s="130"/>
      <x:c r="T8" s="130"/>
      <x:c r="U8" s="130"/>
      <x:c r="V8" s="130"/>
      <x:c r="W8" s="130"/>
      <x:c r="X8" s="130"/>
      <x:c r="Y8" s="130"/>
      <x:c r="Z8" s="130"/>
      <x:c r="AA8" s="130"/>
      <x:c r="AB8" s="130"/>
      <x:c r="AC8" s="130"/>
      <x:c r="AD8" s="130"/>
      <x:c r="AE8" s="130"/>
      <x:c r="AF8" s="130"/>
      <x:c r="AG8" s="130"/>
      <x:c r="AH8" s="130"/>
      <x:c r="AI8" s="130"/>
      <x:c r="AJ8" s="130"/>
      <x:c r="AK8" s="130"/>
      <x:c r="AL8" s="130"/>
      <x:c r="AM8" s="130"/>
      <x:c r="AN8" s="130"/>
      <x:c r="AO8" s="130"/>
      <x:c r="AP8" s="130"/>
      <x:c r="AQ8" s="130"/>
      <x:c r="AR8" s="130"/>
      <x:c r="AS8" s="130"/>
      <x:c r="AT8" s="130"/>
      <x:c r="AU8" s="130"/>
      <x:c r="AV8" s="130"/>
      <x:c r="AW8" s="130"/>
      <x:c r="AX8" s="130"/>
      <x:c r="AY8" s="130"/>
      <x:c r="AZ8" s="130"/>
    </x:row>
    <x:row r="9">
      <x:c r="A9" s="130"/>
      <x:c r="B9" s="130"/>
      <x:c r="C9" s="130"/>
      <x:c r="D9" s="130"/>
      <x:c r="E9" s="130"/>
      <x:c r="F9" s="130"/>
      <x:c r="G9" s="130"/>
      <x:c r="H9" s="130"/>
      <x:c r="I9" s="130"/>
      <x:c r="J9" s="130"/>
      <x:c r="K9" s="130"/>
      <x:c r="L9" s="130"/>
      <x:c r="M9" s="130"/>
      <x:c r="N9" s="130"/>
      <x:c r="O9" s="130"/>
      <x:c r="P9" s="130"/>
      <x:c r="Q9" s="130"/>
      <x:c r="R9" s="130"/>
      <x:c r="S9" s="130"/>
      <x:c r="T9" s="130"/>
      <x:c r="U9" s="130"/>
      <x:c r="V9" s="130"/>
      <x:c r="W9" s="130"/>
      <x:c r="X9" s="130"/>
      <x:c r="Y9" s="130"/>
      <x:c r="Z9" s="130"/>
      <x:c r="AA9" s="130"/>
      <x:c r="AB9" s="130"/>
      <x:c r="AC9" s="130"/>
      <x:c r="AD9" s="130"/>
      <x:c r="AE9" s="130"/>
      <x:c r="AF9" s="130"/>
      <x:c r="AG9" s="130"/>
      <x:c r="AH9" s="130"/>
      <x:c r="AI9" s="130"/>
      <x:c r="AJ9" s="130"/>
      <x:c r="AK9" s="130"/>
      <x:c r="AL9" s="130"/>
      <x:c r="AM9" s="130"/>
      <x:c r="AN9" s="130"/>
      <x:c r="AO9" s="130"/>
      <x:c r="AP9" s="130"/>
      <x:c r="AQ9" s="130"/>
      <x:c r="AR9" s="130"/>
      <x:c r="AS9" s="130"/>
      <x:c r="AT9" s="130"/>
      <x:c r="AU9" s="130"/>
      <x:c r="AV9" s="130"/>
      <x:c r="AW9" s="130"/>
      <x:c r="AX9" s="130"/>
      <x:c r="AY9" s="130"/>
      <x:c r="AZ9" s="130"/>
    </x:row>
    <x:row r="10">
      <x:c r="A10" s="130"/>
      <x:c r="B10" s="130"/>
      <x:c r="C10" s="130"/>
      <x:c r="D10" s="130"/>
      <x:c r="E10" s="130"/>
      <x:c r="F10" s="130"/>
      <x:c r="G10" s="130"/>
      <x:c r="H10" s="130"/>
      <x:c r="I10" s="130"/>
      <x:c r="J10" s="130"/>
      <x:c r="K10" s="130"/>
      <x:c r="L10" s="130"/>
      <x:c r="M10" s="130"/>
      <x:c r="N10" s="130"/>
      <x:c r="O10" s="130"/>
      <x:c r="P10" s="130"/>
      <x:c r="Q10" s="130"/>
      <x:c r="R10" s="130"/>
      <x:c r="S10" s="130"/>
      <x:c r="T10" s="130"/>
      <x:c r="U10" s="130"/>
      <x:c r="V10" s="130"/>
      <x:c r="W10" s="130"/>
      <x:c r="X10" s="130"/>
      <x:c r="Y10" s="130"/>
      <x:c r="Z10" s="130"/>
      <x:c r="AA10" s="130"/>
      <x:c r="AB10" s="130"/>
      <x:c r="AC10" s="130"/>
      <x:c r="AD10" s="130"/>
      <x:c r="AE10" s="130"/>
      <x:c r="AF10" s="130"/>
      <x:c r="AG10" s="130"/>
      <x:c r="AH10" s="130"/>
      <x:c r="AI10" s="130"/>
      <x:c r="AJ10" s="130"/>
      <x:c r="AK10" s="130"/>
      <x:c r="AL10" s="130"/>
      <x:c r="AM10" s="130"/>
      <x:c r="AN10" s="130"/>
      <x:c r="AO10" s="130"/>
      <x:c r="AP10" s="130"/>
      <x:c r="AQ10" s="130"/>
      <x:c r="AR10" s="130"/>
      <x:c r="AS10" s="130"/>
      <x:c r="AT10" s="130"/>
      <x:c r="AU10" s="130"/>
      <x:c r="AV10" s="130"/>
      <x:c r="AW10" s="130"/>
      <x:c r="AX10" s="130"/>
      <x:c r="AY10" s="130"/>
      <x:c r="AZ10" s="130"/>
    </x:row>
    <x:row r="11">
      <x:c r="A11" s="130"/>
      <x:c r="B11" s="130"/>
      <x:c r="C11" s="130"/>
      <x:c r="D11" s="130"/>
      <x:c r="E11" s="130"/>
      <x:c r="F11" s="130"/>
      <x:c r="G11" s="130"/>
      <x:c r="H11" s="130"/>
      <x:c r="I11" s="130"/>
      <x:c r="J11" s="130"/>
      <x:c r="K11" s="130"/>
      <x:c r="L11" s="130"/>
      <x:c r="M11" s="130"/>
      <x:c r="N11" s="130"/>
      <x:c r="O11" s="130"/>
      <x:c r="P11" s="130"/>
      <x:c r="Q11" s="130"/>
      <x:c r="R11" s="130"/>
      <x:c r="S11" s="130"/>
      <x:c r="T11" s="130"/>
      <x:c r="U11" s="130"/>
      <x:c r="V11" s="130"/>
      <x:c r="W11" s="130"/>
      <x:c r="X11" s="130"/>
      <x:c r="Y11" s="130"/>
      <x:c r="Z11" s="130"/>
      <x:c r="AA11" s="130"/>
      <x:c r="AB11" s="130"/>
      <x:c r="AC11" s="130"/>
      <x:c r="AD11" s="130"/>
      <x:c r="AE11" s="130"/>
      <x:c r="AF11" s="130"/>
      <x:c r="AG11" s="130"/>
      <x:c r="AH11" s="130"/>
      <x:c r="AI11" s="130"/>
      <x:c r="AJ11" s="130"/>
      <x:c r="AK11" s="130"/>
      <x:c r="AL11" s="130"/>
      <x:c r="AM11" s="130"/>
      <x:c r="AN11" s="130"/>
      <x:c r="AO11" s="130"/>
      <x:c r="AP11" s="130"/>
      <x:c r="AQ11" s="130"/>
      <x:c r="AR11" s="130"/>
      <x:c r="AS11" s="130"/>
      <x:c r="AT11" s="130"/>
      <x:c r="AU11" s="130"/>
      <x:c r="AV11" s="130"/>
      <x:c r="AW11" s="130"/>
      <x:c r="AX11" s="130"/>
      <x:c r="AY11" s="130"/>
      <x:c r="AZ11" s="130"/>
    </x:row>
    <x:row r="12">
      <x:c r="A12" s="130"/>
      <x:c r="B12" s="130"/>
      <x:c r="C12" s="130"/>
      <x:c r="D12" s="130"/>
      <x:c r="E12" s="130"/>
      <x:c r="F12" s="130"/>
      <x:c r="G12" s="130"/>
      <x:c r="H12" s="130"/>
      <x:c r="I12" s="130"/>
      <x:c r="J12" s="130"/>
      <x:c r="K12" s="130"/>
      <x:c r="L12" s="130"/>
      <x:c r="M12" s="130"/>
      <x:c r="N12" s="130"/>
      <x:c r="O12" s="130"/>
      <x:c r="P12" s="130"/>
      <x:c r="Q12" s="130"/>
      <x:c r="R12" s="130"/>
      <x:c r="S12" s="130"/>
      <x:c r="T12" s="130"/>
      <x:c r="U12" s="130"/>
      <x:c r="V12" s="130"/>
      <x:c r="W12" s="130"/>
      <x:c r="X12" s="130"/>
      <x:c r="Y12" s="130"/>
      <x:c r="Z12" s="130"/>
      <x:c r="AA12" s="130"/>
      <x:c r="AB12" s="130"/>
      <x:c r="AC12" s="130"/>
      <x:c r="AD12" s="130"/>
      <x:c r="AE12" s="130"/>
      <x:c r="AF12" s="130"/>
      <x:c r="AG12" s="130"/>
      <x:c r="AH12" s="130"/>
      <x:c r="AI12" s="130"/>
      <x:c r="AJ12" s="130"/>
      <x:c r="AK12" s="130"/>
      <x:c r="AL12" s="130"/>
      <x:c r="AM12" s="130"/>
      <x:c r="AN12" s="130"/>
      <x:c r="AO12" s="130"/>
      <x:c r="AP12" s="130"/>
      <x:c r="AQ12" s="130"/>
      <x:c r="AR12" s="130"/>
      <x:c r="AS12" s="130"/>
      <x:c r="AT12" s="130"/>
      <x:c r="AU12" s="130"/>
      <x:c r="AV12" s="130"/>
      <x:c r="AW12" s="130"/>
      <x:c r="AX12" s="130"/>
      <x:c r="AY12" s="130"/>
      <x:c r="AZ12" s="130"/>
    </x:row>
    <x:row r="13">
      <x:c r="A13" s="130"/>
      <x:c r="B13" s="130"/>
      <x:c r="C13" s="130"/>
      <x:c r="D13" s="130"/>
      <x:c r="E13" s="130"/>
      <x:c r="F13" s="130"/>
      <x:c r="G13" s="130"/>
      <x:c r="H13" s="130"/>
      <x:c r="I13" s="130"/>
      <x:c r="J13" s="130"/>
      <x:c r="K13" s="130"/>
      <x:c r="L13" s="130"/>
      <x:c r="M13" s="130"/>
      <x:c r="N13" s="130"/>
      <x:c r="O13" s="130"/>
      <x:c r="P13" s="130"/>
      <x:c r="Q13" s="130"/>
      <x:c r="R13" s="130"/>
      <x:c r="S13" s="130"/>
      <x:c r="T13" s="130"/>
      <x:c r="U13" s="130"/>
      <x:c r="V13" s="130"/>
      <x:c r="W13" s="130"/>
      <x:c r="X13" s="130"/>
      <x:c r="Y13" s="130"/>
      <x:c r="Z13" s="130"/>
      <x:c r="AA13" s="130"/>
      <x:c r="AB13" s="130"/>
      <x:c r="AC13" s="130"/>
      <x:c r="AD13" s="130"/>
      <x:c r="AE13" s="130"/>
      <x:c r="AF13" s="130"/>
      <x:c r="AG13" s="130"/>
      <x:c r="AH13" s="130"/>
      <x:c r="AI13" s="130"/>
      <x:c r="AJ13" s="130"/>
      <x:c r="AK13" s="130"/>
      <x:c r="AL13" s="130"/>
      <x:c r="AM13" s="130"/>
      <x:c r="AN13" s="130"/>
      <x:c r="AO13" s="130"/>
      <x:c r="AP13" s="130"/>
      <x:c r="AQ13" s="130"/>
      <x:c r="AR13" s="130"/>
      <x:c r="AS13" s="130"/>
      <x:c r="AT13" s="130"/>
      <x:c r="AU13" s="130"/>
      <x:c r="AV13" s="130"/>
      <x:c r="AW13" s="130"/>
      <x:c r="AX13" s="130"/>
      <x:c r="AY13" s="130"/>
      <x:c r="AZ13" s="130"/>
    </x:row>
    <x:row r="14">
      <x:c r="A14" s="130"/>
      <x:c r="B14" s="130"/>
      <x:c r="C14" s="130"/>
      <x:c r="D14" s="130"/>
      <x:c r="E14" s="130"/>
      <x:c r="F14" s="130"/>
      <x:c r="G14" s="130"/>
      <x:c r="H14" s="130"/>
      <x:c r="I14" s="130"/>
      <x:c r="J14" s="130"/>
      <x:c r="K14" s="130"/>
      <x:c r="L14" s="130"/>
      <x:c r="M14" s="130"/>
      <x:c r="N14" s="130"/>
      <x:c r="O14" s="130"/>
      <x:c r="P14" s="130"/>
      <x:c r="Q14" s="130"/>
      <x:c r="R14" s="130"/>
      <x:c r="S14" s="130"/>
      <x:c r="T14" s="130"/>
      <x:c r="U14" s="130"/>
      <x:c r="V14" s="130"/>
      <x:c r="W14" s="130"/>
      <x:c r="X14" s="130"/>
      <x:c r="Y14" s="130"/>
      <x:c r="Z14" s="130"/>
      <x:c r="AA14" s="130"/>
      <x:c r="AB14" s="130"/>
      <x:c r="AC14" s="130"/>
      <x:c r="AD14" s="130"/>
      <x:c r="AE14" s="130"/>
      <x:c r="AF14" s="130"/>
      <x:c r="AG14" s="130"/>
      <x:c r="AH14" s="130"/>
      <x:c r="AI14" s="130"/>
      <x:c r="AJ14" s="130"/>
      <x:c r="AK14" s="130"/>
      <x:c r="AL14" s="130"/>
      <x:c r="AM14" s="130"/>
      <x:c r="AN14" s="130"/>
      <x:c r="AO14" s="130"/>
      <x:c r="AP14" s="130"/>
      <x:c r="AQ14" s="130"/>
      <x:c r="AR14" s="130"/>
      <x:c r="AS14" s="130"/>
      <x:c r="AT14" s="130"/>
      <x:c r="AU14" s="130"/>
      <x:c r="AV14" s="130"/>
      <x:c r="AW14" s="130"/>
      <x:c r="AX14" s="130"/>
      <x:c r="AY14" s="130"/>
      <x:c r="AZ14" s="130"/>
    </x:row>
    <x:row r="15">
      <x:c r="A15" s="130"/>
      <x:c r="B15" s="130"/>
      <x:c r="C15" s="130"/>
      <x:c r="D15" s="130"/>
      <x:c r="E15" s="130"/>
      <x:c r="F15" s="130"/>
      <x:c r="G15" s="130"/>
      <x:c r="H15" s="130"/>
      <x:c r="I15" s="130"/>
      <x:c r="J15" s="130"/>
      <x:c r="K15" s="130"/>
      <x:c r="L15" s="130"/>
      <x:c r="M15" s="130"/>
      <x:c r="N15" s="130"/>
      <x:c r="O15" s="130"/>
      <x:c r="P15" s="130"/>
      <x:c r="Q15" s="130"/>
      <x:c r="R15" s="130"/>
      <x:c r="S15" s="130"/>
      <x:c r="T15" s="130"/>
      <x:c r="U15" s="130"/>
      <x:c r="V15" s="130"/>
      <x:c r="W15" s="130"/>
      <x:c r="X15" s="130"/>
      <x:c r="Y15" s="130"/>
      <x:c r="Z15" s="130"/>
      <x:c r="AA15" s="130"/>
      <x:c r="AB15" s="130"/>
      <x:c r="AC15" s="130"/>
      <x:c r="AD15" s="130"/>
      <x:c r="AE15" s="130"/>
      <x:c r="AF15" s="130"/>
      <x:c r="AG15" s="130"/>
      <x:c r="AH15" s="130"/>
      <x:c r="AI15" s="130"/>
      <x:c r="AJ15" s="130"/>
      <x:c r="AK15" s="130"/>
      <x:c r="AL15" s="130"/>
      <x:c r="AM15" s="130"/>
      <x:c r="AN15" s="130"/>
      <x:c r="AO15" s="130"/>
      <x:c r="AP15" s="130"/>
      <x:c r="AQ15" s="130"/>
      <x:c r="AR15" s="130"/>
      <x:c r="AS15" s="130"/>
      <x:c r="AT15" s="130"/>
      <x:c r="AU15" s="130"/>
      <x:c r="AV15" s="130"/>
      <x:c r="AW15" s="130"/>
      <x:c r="AX15" s="130"/>
      <x:c r="AY15" s="130"/>
      <x:c r="AZ15" s="130"/>
    </x:row>
    <x:row r="16">
      <x:c r="A16" s="130"/>
      <x:c r="B16" s="130"/>
      <x:c r="C16" s="130"/>
      <x:c r="D16" s="130"/>
      <x:c r="E16" s="130"/>
      <x:c r="F16" s="130"/>
      <x:c r="G16" s="130"/>
      <x:c r="H16" s="130"/>
      <x:c r="I16" s="130"/>
      <x:c r="J16" s="130"/>
      <x:c r="K16" s="130"/>
      <x:c r="L16" s="130"/>
      <x:c r="M16" s="130"/>
      <x:c r="N16" s="130"/>
      <x:c r="O16" s="130"/>
      <x:c r="P16" s="130"/>
      <x:c r="Q16" s="130"/>
      <x:c r="R16" s="130"/>
      <x:c r="S16" s="130"/>
      <x:c r="T16" s="130"/>
      <x:c r="U16" s="130"/>
      <x:c r="V16" s="130"/>
      <x:c r="W16" s="130"/>
      <x:c r="X16" s="130"/>
      <x:c r="Y16" s="130"/>
      <x:c r="Z16" s="130"/>
      <x:c r="AA16" s="130"/>
      <x:c r="AB16" s="130"/>
      <x:c r="AC16" s="130"/>
      <x:c r="AD16" s="130"/>
      <x:c r="AE16" s="130"/>
      <x:c r="AF16" s="130"/>
      <x:c r="AG16" s="130"/>
      <x:c r="AH16" s="130"/>
      <x:c r="AI16" s="130"/>
      <x:c r="AJ16" s="130"/>
      <x:c r="AK16" s="130"/>
      <x:c r="AL16" s="130"/>
      <x:c r="AM16" s="130"/>
      <x:c r="AN16" s="130"/>
      <x:c r="AO16" s="130"/>
      <x:c r="AP16" s="130"/>
      <x:c r="AQ16" s="130"/>
      <x:c r="AR16" s="130"/>
      <x:c r="AS16" s="130"/>
      <x:c r="AT16" s="130"/>
      <x:c r="AU16" s="130"/>
      <x:c r="AV16" s="130"/>
      <x:c r="AW16" s="130"/>
      <x:c r="AX16" s="130"/>
      <x:c r="AY16" s="130"/>
      <x:c r="AZ16" s="130"/>
    </x:row>
    <x:row r="17">
      <x:c r="A17" s="130"/>
      <x:c r="B17" s="130"/>
      <x:c r="C17" s="130"/>
      <x:c r="D17" s="130"/>
      <x:c r="E17" s="130"/>
      <x:c r="F17" s="130"/>
      <x:c r="G17" s="130"/>
      <x:c r="H17" s="130"/>
      <x:c r="I17" s="130"/>
      <x:c r="J17" s="130"/>
      <x:c r="K17" s="130"/>
      <x:c r="L17" s="130"/>
      <x:c r="M17" s="130"/>
      <x:c r="N17" s="130"/>
      <x:c r="O17" s="130"/>
      <x:c r="P17" s="130"/>
      <x:c r="Q17" s="130"/>
      <x:c r="R17" s="130"/>
      <x:c r="S17" s="130"/>
      <x:c r="T17" s="130"/>
      <x:c r="U17" s="130"/>
      <x:c r="V17" s="130"/>
      <x:c r="W17" s="130"/>
      <x:c r="X17" s="130"/>
      <x:c r="Y17" s="130"/>
      <x:c r="Z17" s="130"/>
      <x:c r="AA17" s="130"/>
      <x:c r="AB17" s="130"/>
      <x:c r="AC17" s="130"/>
      <x:c r="AD17" s="130"/>
      <x:c r="AE17" s="130"/>
      <x:c r="AF17" s="130"/>
      <x:c r="AG17" s="130"/>
      <x:c r="AH17" s="130"/>
      <x:c r="AI17" s="130"/>
      <x:c r="AJ17" s="130"/>
      <x:c r="AK17" s="130"/>
      <x:c r="AL17" s="130"/>
      <x:c r="AM17" s="130"/>
      <x:c r="AN17" s="130"/>
      <x:c r="AO17" s="130"/>
      <x:c r="AP17" s="130"/>
      <x:c r="AQ17" s="130"/>
      <x:c r="AR17" s="130"/>
      <x:c r="AS17" s="130"/>
      <x:c r="AT17" s="130"/>
      <x:c r="AU17" s="130"/>
      <x:c r="AV17" s="130"/>
      <x:c r="AW17" s="130"/>
      <x:c r="AX17" s="130"/>
      <x:c r="AY17" s="130"/>
      <x:c r="AZ17" s="130"/>
    </x:row>
    <x:row r="18">
      <x:c r="A18" s="130"/>
      <x:c r="B18" s="130"/>
      <x:c r="C18" s="130"/>
      <x:c r="D18" s="130"/>
      <x:c r="E18" s="130"/>
      <x:c r="F18" s="130"/>
      <x:c r="G18" s="130"/>
      <x:c r="H18" s="130"/>
      <x:c r="I18" s="130"/>
      <x:c r="J18" s="130"/>
      <x:c r="K18" s="130"/>
      <x:c r="L18" s="130"/>
      <x:c r="M18" s="130"/>
      <x:c r="N18" s="130"/>
      <x:c r="O18" s="130"/>
      <x:c r="P18" s="130"/>
      <x:c r="Q18" s="130"/>
      <x:c r="R18" s="130"/>
      <x:c r="S18" s="130"/>
      <x:c r="T18" s="130"/>
      <x:c r="U18" s="130"/>
      <x:c r="V18" s="130"/>
      <x:c r="W18" s="130"/>
      <x:c r="X18" s="130"/>
      <x:c r="Y18" s="130"/>
      <x:c r="Z18" s="130"/>
      <x:c r="AA18" s="130"/>
      <x:c r="AB18" s="130"/>
      <x:c r="AC18" s="130"/>
      <x:c r="AD18" s="130"/>
      <x:c r="AE18" s="130"/>
      <x:c r="AF18" s="130"/>
      <x:c r="AG18" s="130"/>
      <x:c r="AH18" s="130"/>
      <x:c r="AI18" s="130"/>
      <x:c r="AJ18" s="130"/>
      <x:c r="AK18" s="130"/>
      <x:c r="AL18" s="130"/>
      <x:c r="AM18" s="130"/>
      <x:c r="AN18" s="130"/>
      <x:c r="AO18" s="130"/>
      <x:c r="AP18" s="130"/>
      <x:c r="AQ18" s="130"/>
      <x:c r="AR18" s="130"/>
      <x:c r="AS18" s="130"/>
      <x:c r="AT18" s="130"/>
      <x:c r="AU18" s="130"/>
      <x:c r="AV18" s="130"/>
      <x:c r="AW18" s="130"/>
      <x:c r="AX18" s="130"/>
      <x:c r="AY18" s="130"/>
      <x:c r="AZ18" s="130"/>
    </x:row>
    <x:row r="19">
      <x:c r="A19" s="130"/>
      <x:c r="B19" s="130"/>
      <x:c r="C19" s="130"/>
      <x:c r="D19" s="130"/>
      <x:c r="E19" s="130"/>
      <x:c r="F19" s="130"/>
      <x:c r="G19" s="130"/>
      <x:c r="H19" s="130"/>
      <x:c r="I19" s="130"/>
      <x:c r="J19" s="130"/>
      <x:c r="K19" s="130"/>
      <x:c r="L19" s="130"/>
      <x:c r="M19" s="130"/>
      <x:c r="N19" s="130"/>
      <x:c r="O19" s="130"/>
      <x:c r="P19" s="130"/>
      <x:c r="Q19" s="130"/>
      <x:c r="R19" s="130"/>
      <x:c r="S19" s="130"/>
      <x:c r="T19" s="130"/>
      <x:c r="U19" s="130"/>
      <x:c r="V19" s="130"/>
      <x:c r="W19" s="130"/>
      <x:c r="X19" s="130"/>
      <x:c r="Y19" s="130"/>
      <x:c r="Z19" s="130"/>
      <x:c r="AA19" s="130"/>
      <x:c r="AB19" s="130"/>
      <x:c r="AC19" s="130"/>
      <x:c r="AD19" s="130"/>
      <x:c r="AE19" s="130"/>
      <x:c r="AF19" s="130"/>
      <x:c r="AG19" s="130"/>
      <x:c r="AH19" s="130"/>
      <x:c r="AI19" s="130"/>
      <x:c r="AJ19" s="130"/>
      <x:c r="AK19" s="130"/>
      <x:c r="AL19" s="130"/>
      <x:c r="AM19" s="130"/>
      <x:c r="AN19" s="130"/>
      <x:c r="AO19" s="130"/>
      <x:c r="AP19" s="130"/>
      <x:c r="AQ19" s="130"/>
      <x:c r="AR19" s="130"/>
      <x:c r="AS19" s="130"/>
      <x:c r="AT19" s="130"/>
      <x:c r="AU19" s="130"/>
      <x:c r="AV19" s="130"/>
      <x:c r="AW19" s="130"/>
      <x:c r="AX19" s="130"/>
      <x:c r="AY19" s="130"/>
      <x:c r="AZ19" s="130"/>
    </x:row>
    <x:row r="20">
      <x:c r="A20" s="130"/>
      <x:c r="B20" s="130"/>
      <x:c r="C20" s="130"/>
      <x:c r="D20" s="130"/>
      <x:c r="E20" s="130"/>
      <x:c r="F20" s="130"/>
      <x:c r="G20" s="130"/>
      <x:c r="H20" s="130"/>
      <x:c r="I20" s="130"/>
      <x:c r="J20" s="130"/>
      <x:c r="K20" s="130"/>
      <x:c r="L20" s="130"/>
      <x:c r="M20" s="130"/>
      <x:c r="N20" s="130"/>
      <x:c r="O20" s="130"/>
      <x:c r="P20" s="130"/>
      <x:c r="Q20" s="130"/>
      <x:c r="R20" s="130"/>
      <x:c r="S20" s="130"/>
      <x:c r="T20" s="130"/>
      <x:c r="U20" s="130"/>
      <x:c r="V20" s="130"/>
      <x:c r="W20" s="130"/>
      <x:c r="X20" s="130"/>
      <x:c r="Y20" s="130"/>
      <x:c r="Z20" s="130"/>
      <x:c r="AA20" s="130"/>
      <x:c r="AB20" s="130"/>
      <x:c r="AC20" s="130"/>
      <x:c r="AD20" s="130"/>
      <x:c r="AE20" s="130"/>
      <x:c r="AF20" s="130"/>
      <x:c r="AG20" s="130"/>
      <x:c r="AH20" s="130"/>
      <x:c r="AI20" s="130"/>
      <x:c r="AJ20" s="130"/>
      <x:c r="AK20" s="130"/>
      <x:c r="AL20" s="130"/>
      <x:c r="AM20" s="130"/>
      <x:c r="AN20" s="130"/>
      <x:c r="AO20" s="130"/>
      <x:c r="AP20" s="130"/>
      <x:c r="AQ20" s="130"/>
      <x:c r="AR20" s="130"/>
      <x:c r="AS20" s="130"/>
      <x:c r="AT20" s="130"/>
      <x:c r="AU20" s="130"/>
      <x:c r="AV20" s="130"/>
      <x:c r="AW20" s="130"/>
      <x:c r="AX20" s="130"/>
      <x:c r="AY20" s="130"/>
      <x:c r="AZ20" s="130"/>
    </x:row>
    <x:row r="21">
      <x:c r="A21" s="130"/>
      <x:c r="B21" s="130"/>
      <x:c r="C21" s="130"/>
      <x:c r="D21" s="130"/>
      <x:c r="E21" s="130"/>
      <x:c r="F21" s="130"/>
      <x:c r="G21" s="130"/>
      <x:c r="H21" s="130"/>
      <x:c r="I21" s="130"/>
      <x:c r="J21" s="130"/>
      <x:c r="K21" s="130"/>
      <x:c r="L21" s="130"/>
      <x:c r="M21" s="130"/>
      <x:c r="N21" s="130"/>
      <x:c r="O21" s="130"/>
      <x:c r="P21" s="130"/>
      <x:c r="Q21" s="130"/>
      <x:c r="R21" s="130"/>
      <x:c r="S21" s="130"/>
      <x:c r="T21" s="130"/>
      <x:c r="U21" s="130"/>
      <x:c r="V21" s="130"/>
      <x:c r="W21" s="130"/>
      <x:c r="X21" s="130"/>
      <x:c r="Y21" s="130"/>
      <x:c r="Z21" s="130"/>
      <x:c r="AA21" s="130"/>
      <x:c r="AB21" s="130"/>
      <x:c r="AC21" s="130"/>
      <x:c r="AD21" s="130"/>
      <x:c r="AE21" s="130"/>
      <x:c r="AF21" s="130"/>
      <x:c r="AG21" s="130"/>
      <x:c r="AH21" s="130"/>
      <x:c r="AI21" s="130"/>
      <x:c r="AJ21" s="130"/>
      <x:c r="AK21" s="130"/>
      <x:c r="AL21" s="130"/>
      <x:c r="AM21" s="130"/>
      <x:c r="AN21" s="130"/>
      <x:c r="AO21" s="130"/>
      <x:c r="AP21" s="130"/>
      <x:c r="AQ21" s="130"/>
      <x:c r="AR21" s="130"/>
      <x:c r="AS21" s="130"/>
      <x:c r="AT21" s="130"/>
      <x:c r="AU21" s="130"/>
      <x:c r="AV21" s="130"/>
      <x:c r="AW21" s="130"/>
      <x:c r="AX21" s="130"/>
      <x:c r="AY21" s="130"/>
      <x:c r="AZ21" s="130"/>
    </x:row>
    <x:row r="22">
      <x:c r="A22" s="130"/>
      <x:c r="B22" s="130"/>
      <x:c r="C22" s="130"/>
      <x:c r="D22" s="130"/>
      <x:c r="E22" s="130"/>
      <x:c r="F22" s="130"/>
      <x:c r="G22" s="130"/>
      <x:c r="H22" s="130"/>
      <x:c r="I22" s="130"/>
      <x:c r="J22" s="130"/>
      <x:c r="K22" s="130"/>
      <x:c r="L22" s="130"/>
      <x:c r="M22" s="130"/>
      <x:c r="N22" s="130"/>
      <x:c r="O22" s="130"/>
      <x:c r="P22" s="130"/>
      <x:c r="Q22" s="130"/>
      <x:c r="R22" s="130"/>
      <x:c r="S22" s="130"/>
      <x:c r="T22" s="130"/>
      <x:c r="U22" s="130"/>
      <x:c r="V22" s="130"/>
      <x:c r="W22" s="130"/>
      <x:c r="X22" s="130"/>
      <x:c r="Y22" s="130"/>
      <x:c r="Z22" s="130"/>
      <x:c r="AA22" s="130"/>
      <x:c r="AB22" s="130"/>
      <x:c r="AC22" s="130"/>
      <x:c r="AD22" s="130"/>
      <x:c r="AE22" s="130"/>
      <x:c r="AF22" s="130"/>
      <x:c r="AG22" s="130"/>
      <x:c r="AH22" s="130"/>
      <x:c r="AI22" s="130"/>
      <x:c r="AJ22" s="130"/>
      <x:c r="AK22" s="130"/>
      <x:c r="AL22" s="130"/>
      <x:c r="AM22" s="130"/>
      <x:c r="AN22" s="130"/>
      <x:c r="AO22" s="130"/>
      <x:c r="AP22" s="130"/>
      <x:c r="AQ22" s="130"/>
      <x:c r="AR22" s="130"/>
      <x:c r="AS22" s="130"/>
      <x:c r="AT22" s="130"/>
      <x:c r="AU22" s="130"/>
      <x:c r="AV22" s="130"/>
      <x:c r="AW22" s="130"/>
      <x:c r="AX22" s="130"/>
      <x:c r="AY22" s="130"/>
      <x:c r="AZ22" s="130"/>
    </x:row>
    <x:row r="23">
      <x:c r="A23" s="130"/>
      <x:c r="B23" s="130"/>
      <x:c r="C23" s="130"/>
      <x:c r="D23" s="130"/>
      <x:c r="E23" s="130"/>
      <x:c r="F23" s="130"/>
      <x:c r="G23" s="130"/>
      <x:c r="H23" s="130"/>
      <x:c r="I23" s="130"/>
      <x:c r="J23" s="130"/>
      <x:c r="K23" s="130"/>
      <x:c r="L23" s="130"/>
      <x:c r="M23" s="130"/>
      <x:c r="N23" s="130"/>
      <x:c r="O23" s="130"/>
      <x:c r="P23" s="130"/>
      <x:c r="Q23" s="130"/>
      <x:c r="R23" s="130"/>
      <x:c r="S23" s="130"/>
      <x:c r="T23" s="130"/>
      <x:c r="U23" s="130"/>
      <x:c r="V23" s="130"/>
      <x:c r="W23" s="130"/>
      <x:c r="X23" s="130"/>
      <x:c r="Y23" s="130"/>
      <x:c r="Z23" s="130"/>
      <x:c r="AA23" s="130"/>
      <x:c r="AB23" s="130"/>
      <x:c r="AC23" s="130"/>
      <x:c r="AD23" s="130"/>
      <x:c r="AE23" s="130"/>
      <x:c r="AF23" s="130"/>
      <x:c r="AG23" s="130"/>
      <x:c r="AH23" s="130"/>
      <x:c r="AI23" s="130"/>
      <x:c r="AJ23" s="130"/>
      <x:c r="AK23" s="130"/>
      <x:c r="AL23" s="130"/>
      <x:c r="AM23" s="130"/>
      <x:c r="AN23" s="130"/>
      <x:c r="AO23" s="130"/>
      <x:c r="AP23" s="130"/>
      <x:c r="AQ23" s="130"/>
      <x:c r="AR23" s="130"/>
      <x:c r="AS23" s="130"/>
      <x:c r="AT23" s="130"/>
      <x:c r="AU23" s="130"/>
      <x:c r="AV23" s="130"/>
      <x:c r="AW23" s="130"/>
      <x:c r="AX23" s="130"/>
      <x:c r="AY23" s="130"/>
      <x:c r="AZ23" s="130"/>
    </x:row>
    <x:row r="24">
      <x:c r="A24" s="130"/>
      <x:c r="B24" s="130"/>
      <x:c r="C24" s="130"/>
      <x:c r="D24" s="130"/>
      <x:c r="E24" s="130"/>
      <x:c r="F24" s="130"/>
      <x:c r="G24" s="130"/>
      <x:c r="H24" s="130"/>
      <x:c r="I24" s="130"/>
      <x:c r="J24" s="130"/>
      <x:c r="K24" s="130"/>
      <x:c r="L24" s="130"/>
      <x:c r="M24" s="130"/>
      <x:c r="N24" s="130"/>
      <x:c r="O24" s="130"/>
      <x:c r="P24" s="130"/>
      <x:c r="Q24" s="130"/>
      <x:c r="R24" s="130"/>
      <x:c r="S24" s="130"/>
      <x:c r="T24" s="130"/>
      <x:c r="U24" s="130"/>
      <x:c r="V24" s="130"/>
      <x:c r="W24" s="130"/>
      <x:c r="X24" s="130"/>
      <x:c r="Y24" s="130"/>
      <x:c r="Z24" s="130"/>
      <x:c r="AA24" s="130"/>
      <x:c r="AB24" s="130"/>
      <x:c r="AC24" s="130"/>
      <x:c r="AD24" s="130"/>
      <x:c r="AE24" s="130"/>
      <x:c r="AF24" s="130"/>
      <x:c r="AG24" s="130"/>
      <x:c r="AH24" s="130"/>
      <x:c r="AI24" s="130"/>
      <x:c r="AJ24" s="130"/>
      <x:c r="AK24" s="130"/>
      <x:c r="AL24" s="130"/>
      <x:c r="AM24" s="130"/>
      <x:c r="AN24" s="130"/>
      <x:c r="AO24" s="130"/>
      <x:c r="AP24" s="130"/>
      <x:c r="AQ24" s="130"/>
      <x:c r="AR24" s="130"/>
      <x:c r="AS24" s="130"/>
      <x:c r="AT24" s="130"/>
      <x:c r="AU24" s="130"/>
      <x:c r="AV24" s="130"/>
      <x:c r="AW24" s="130"/>
      <x:c r="AX24" s="130"/>
      <x:c r="AY24" s="130"/>
      <x:c r="AZ24" s="130"/>
    </x:row>
    <x:row r="25">
      <x:c r="A25" s="130"/>
      <x:c r="B25" s="130"/>
      <x:c r="C25" s="130"/>
      <x:c r="D25" s="130"/>
      <x:c r="E25" s="130"/>
      <x:c r="F25" s="130"/>
      <x:c r="G25" s="130"/>
      <x:c r="H25" s="130"/>
      <x:c r="I25" s="130"/>
      <x:c r="J25" s="130"/>
      <x:c r="K25" s="130"/>
      <x:c r="L25" s="130"/>
      <x:c r="M25" s="130"/>
      <x:c r="N25" s="130"/>
      <x:c r="O25" s="130"/>
      <x:c r="P25" s="130"/>
      <x:c r="Q25" s="130"/>
      <x:c r="R25" s="130"/>
      <x:c r="S25" s="130"/>
      <x:c r="T25" s="130"/>
      <x:c r="U25" s="130"/>
      <x:c r="V25" s="130"/>
      <x:c r="W25" s="130"/>
      <x:c r="X25" s="130"/>
      <x:c r="Y25" s="130"/>
      <x:c r="Z25" s="130"/>
      <x:c r="AA25" s="130"/>
      <x:c r="AB25" s="130"/>
      <x:c r="AC25" s="130"/>
      <x:c r="AD25" s="130"/>
      <x:c r="AE25" s="130"/>
      <x:c r="AF25" s="130"/>
      <x:c r="AG25" s="130"/>
      <x:c r="AH25" s="130"/>
      <x:c r="AI25" s="130"/>
      <x:c r="AJ25" s="130"/>
      <x:c r="AK25" s="130"/>
      <x:c r="AL25" s="130"/>
      <x:c r="AM25" s="130"/>
      <x:c r="AN25" s="130"/>
      <x:c r="AO25" s="130"/>
      <x:c r="AP25" s="130"/>
      <x:c r="AQ25" s="130"/>
      <x:c r="AR25" s="130"/>
      <x:c r="AS25" s="130"/>
      <x:c r="AT25" s="130"/>
      <x:c r="AU25" s="130"/>
      <x:c r="AV25" s="130"/>
      <x:c r="AW25" s="130"/>
      <x:c r="AX25" s="130"/>
      <x:c r="AY25" s="130"/>
      <x:c r="AZ25" s="130"/>
    </x:row>
    <x:row r="26">
      <x:c r="A26" s="130"/>
      <x:c r="B26" s="130"/>
      <x:c r="C26" s="130"/>
      <x:c r="D26" s="130"/>
      <x:c r="E26" s="130"/>
      <x:c r="F26" s="130"/>
      <x:c r="G26" s="130"/>
      <x:c r="H26" s="130"/>
      <x:c r="I26" s="130"/>
      <x:c r="J26" s="130"/>
      <x:c r="K26" s="130"/>
      <x:c r="L26" s="130"/>
      <x:c r="M26" s="130"/>
      <x:c r="N26" s="130"/>
      <x:c r="O26" s="130"/>
      <x:c r="P26" s="130"/>
      <x:c r="Q26" s="130"/>
      <x:c r="R26" s="130"/>
      <x:c r="S26" s="130"/>
      <x:c r="T26" s="130"/>
      <x:c r="U26" s="130"/>
      <x:c r="V26" s="130"/>
      <x:c r="W26" s="130"/>
      <x:c r="X26" s="130"/>
      <x:c r="Y26" s="130"/>
      <x:c r="Z26" s="130"/>
      <x:c r="AA26" s="130"/>
      <x:c r="AB26" s="130"/>
      <x:c r="AC26" s="130"/>
      <x:c r="AD26" s="130"/>
      <x:c r="AE26" s="130"/>
      <x:c r="AF26" s="130"/>
      <x:c r="AG26" s="130"/>
      <x:c r="AH26" s="130"/>
      <x:c r="AI26" s="130"/>
      <x:c r="AJ26" s="130"/>
      <x:c r="AK26" s="130"/>
      <x:c r="AL26" s="130"/>
      <x:c r="AM26" s="130"/>
      <x:c r="AN26" s="130"/>
      <x:c r="AO26" s="130"/>
      <x:c r="AP26" s="130"/>
      <x:c r="AQ26" s="130"/>
      <x:c r="AR26" s="130"/>
      <x:c r="AS26" s="130"/>
      <x:c r="AT26" s="130"/>
      <x:c r="AU26" s="130"/>
      <x:c r="AV26" s="130"/>
      <x:c r="AW26" s="130"/>
      <x:c r="AX26" s="130"/>
      <x:c r="AY26" s="130"/>
      <x:c r="AZ26" s="130"/>
    </x:row>
    <x:row r="27">
      <x:c r="A27" s="130"/>
      <x:c r="B27" s="130"/>
      <x:c r="C27" s="130"/>
      <x:c r="D27" s="130"/>
      <x:c r="E27" s="130"/>
      <x:c r="F27" s="130"/>
      <x:c r="G27" s="130"/>
      <x:c r="H27" s="130"/>
      <x:c r="I27" s="130"/>
      <x:c r="J27" s="130"/>
      <x:c r="K27" s="130"/>
      <x:c r="L27" s="130"/>
      <x:c r="M27" s="130"/>
      <x:c r="N27" s="130"/>
      <x:c r="O27" s="130"/>
      <x:c r="P27" s="130"/>
      <x:c r="Q27" s="130"/>
      <x:c r="R27" s="130"/>
      <x:c r="S27" s="130"/>
      <x:c r="T27" s="130"/>
      <x:c r="U27" s="130"/>
      <x:c r="V27" s="130"/>
      <x:c r="W27" s="130"/>
      <x:c r="X27" s="130"/>
      <x:c r="Y27" s="130"/>
      <x:c r="Z27" s="130"/>
      <x:c r="AA27" s="130"/>
      <x:c r="AB27" s="130"/>
      <x:c r="AC27" s="130"/>
      <x:c r="AD27" s="130"/>
      <x:c r="AE27" s="130"/>
      <x:c r="AF27" s="130"/>
      <x:c r="AG27" s="130"/>
      <x:c r="AH27" s="130"/>
      <x:c r="AI27" s="130"/>
      <x:c r="AJ27" s="130"/>
      <x:c r="AK27" s="130"/>
      <x:c r="AL27" s="130"/>
      <x:c r="AM27" s="130"/>
      <x:c r="AN27" s="130"/>
      <x:c r="AO27" s="130"/>
      <x:c r="AP27" s="130"/>
      <x:c r="AQ27" s="130"/>
      <x:c r="AR27" s="130"/>
      <x:c r="AS27" s="130"/>
      <x:c r="AT27" s="130"/>
      <x:c r="AU27" s="130"/>
      <x:c r="AV27" s="130"/>
      <x:c r="AW27" s="130"/>
      <x:c r="AX27" s="130"/>
      <x:c r="AY27" s="130"/>
      <x:c r="AZ27" s="130"/>
    </x:row>
    <x:row r="28">
      <x:c r="A28" s="130"/>
      <x:c r="B28" s="130"/>
      <x:c r="C28" s="130"/>
      <x:c r="D28" s="130"/>
      <x:c r="E28" s="130"/>
      <x:c r="F28" s="130"/>
      <x:c r="G28" s="130"/>
      <x:c r="H28" s="130"/>
      <x:c r="I28" s="130"/>
      <x:c r="J28" s="130"/>
      <x:c r="K28" s="130"/>
      <x:c r="L28" s="130"/>
      <x:c r="M28" s="130"/>
      <x:c r="N28" s="130"/>
      <x:c r="O28" s="130"/>
      <x:c r="P28" s="130"/>
      <x:c r="Q28" s="130"/>
      <x:c r="R28" s="130"/>
      <x:c r="S28" s="130"/>
      <x:c r="T28" s="130"/>
      <x:c r="U28" s="130"/>
      <x:c r="V28" s="130"/>
      <x:c r="W28" s="130"/>
      <x:c r="X28" s="130"/>
      <x:c r="Y28" s="130"/>
      <x:c r="Z28" s="130"/>
      <x:c r="AA28" s="130"/>
      <x:c r="AB28" s="130"/>
      <x:c r="AC28" s="130"/>
      <x:c r="AD28" s="130"/>
      <x:c r="AE28" s="130"/>
      <x:c r="AF28" s="130"/>
      <x:c r="AG28" s="130"/>
      <x:c r="AH28" s="130"/>
      <x:c r="AI28" s="130"/>
      <x:c r="AJ28" s="130"/>
      <x:c r="AK28" s="130"/>
      <x:c r="AL28" s="130"/>
      <x:c r="AM28" s="130"/>
      <x:c r="AN28" s="130"/>
      <x:c r="AO28" s="130"/>
      <x:c r="AP28" s="130"/>
      <x:c r="AQ28" s="130"/>
      <x:c r="AR28" s="130"/>
      <x:c r="AS28" s="130"/>
      <x:c r="AT28" s="130"/>
      <x:c r="AU28" s="130"/>
      <x:c r="AV28" s="130"/>
      <x:c r="AW28" s="130"/>
      <x:c r="AX28" s="130"/>
      <x:c r="AY28" s="130"/>
      <x:c r="AZ28" s="130"/>
    </x:row>
    <x:row r="29">
      <x:c r="A29" s="130"/>
      <x:c r="B29" s="130"/>
      <x:c r="C29" s="130"/>
      <x:c r="D29" s="130"/>
      <x:c r="E29" s="130"/>
      <x:c r="F29" s="130"/>
      <x:c r="G29" s="130"/>
      <x:c r="H29" s="130"/>
      <x:c r="I29" s="130"/>
      <x:c r="J29" s="130"/>
      <x:c r="K29" s="130"/>
      <x:c r="L29" s="130"/>
      <x:c r="M29" s="130"/>
      <x:c r="N29" s="130"/>
      <x:c r="O29" s="130"/>
      <x:c r="P29" s="130"/>
      <x:c r="Q29" s="130"/>
      <x:c r="R29" s="130"/>
      <x:c r="S29" s="130"/>
      <x:c r="T29" s="130"/>
      <x:c r="U29" s="130"/>
      <x:c r="V29" s="130"/>
      <x:c r="W29" s="130"/>
      <x:c r="X29" s="130"/>
      <x:c r="Y29" s="130"/>
      <x:c r="Z29" s="130"/>
      <x:c r="AA29" s="130"/>
      <x:c r="AB29" s="130"/>
      <x:c r="AC29" s="130"/>
      <x:c r="AD29" s="130"/>
      <x:c r="AE29" s="130"/>
      <x:c r="AF29" s="130"/>
      <x:c r="AG29" s="130"/>
      <x:c r="AH29" s="130"/>
      <x:c r="AI29" s="130"/>
      <x:c r="AJ29" s="130"/>
      <x:c r="AK29" s="130"/>
      <x:c r="AL29" s="130"/>
      <x:c r="AM29" s="130"/>
      <x:c r="AN29" s="130"/>
      <x:c r="AO29" s="130"/>
      <x:c r="AP29" s="130"/>
      <x:c r="AQ29" s="130"/>
      <x:c r="AR29" s="130"/>
      <x:c r="AS29" s="130"/>
      <x:c r="AT29" s="130"/>
      <x:c r="AU29" s="130"/>
      <x:c r="AV29" s="130"/>
      <x:c r="AW29" s="130"/>
      <x:c r="AX29" s="130"/>
      <x:c r="AY29" s="130"/>
      <x:c r="AZ29" s="130"/>
    </x:row>
    <x:row r="30">
      <x:c r="A30" s="130"/>
      <x:c r="B30" s="130"/>
      <x:c r="C30" s="130"/>
      <x:c r="D30" s="130"/>
      <x:c r="E30" s="130"/>
      <x:c r="F30" s="130"/>
      <x:c r="G30" s="130"/>
      <x:c r="H30" s="130"/>
      <x:c r="I30" s="130"/>
      <x:c r="J30" s="130"/>
      <x:c r="K30" s="130"/>
      <x:c r="L30" s="130"/>
      <x:c r="M30" s="130"/>
      <x:c r="N30" s="130"/>
      <x:c r="O30" s="130"/>
      <x:c r="P30" s="130"/>
      <x:c r="Q30" s="130"/>
      <x:c r="R30" s="130"/>
      <x:c r="S30" s="130"/>
      <x:c r="T30" s="130"/>
      <x:c r="U30" s="130"/>
      <x:c r="V30" s="130"/>
      <x:c r="W30" s="130"/>
      <x:c r="X30" s="130"/>
      <x:c r="Y30" s="130"/>
      <x:c r="Z30" s="130"/>
      <x:c r="AA30" s="130"/>
      <x:c r="AB30" s="130"/>
      <x:c r="AC30" s="130"/>
      <x:c r="AD30" s="130"/>
      <x:c r="AE30" s="130"/>
      <x:c r="AF30" s="130"/>
      <x:c r="AG30" s="130"/>
      <x:c r="AH30" s="130"/>
      <x:c r="AI30" s="130"/>
      <x:c r="AJ30" s="130"/>
      <x:c r="AK30" s="130"/>
      <x:c r="AL30" s="130"/>
      <x:c r="AM30" s="130"/>
      <x:c r="AN30" s="130"/>
      <x:c r="AO30" s="130"/>
      <x:c r="AP30" s="130"/>
      <x:c r="AQ30" s="130"/>
      <x:c r="AR30" s="130"/>
      <x:c r="AS30" s="130"/>
      <x:c r="AT30" s="130"/>
      <x:c r="AU30" s="130"/>
      <x:c r="AV30" s="130"/>
      <x:c r="AW30" s="130"/>
      <x:c r="AX30" s="130"/>
      <x:c r="AY30" s="130"/>
      <x:c r="AZ30" s="130"/>
    </x:row>
    <x:row r="31">
      <x:c r="A31" s="130"/>
      <x:c r="B31" s="130"/>
      <x:c r="C31" s="130"/>
      <x:c r="D31" s="130"/>
      <x:c r="E31" s="130"/>
      <x:c r="F31" s="130"/>
      <x:c r="G31" s="130"/>
      <x:c r="H31" s="130"/>
      <x:c r="I31" s="130"/>
      <x:c r="J31" s="130"/>
      <x:c r="K31" s="130"/>
      <x:c r="L31" s="130"/>
      <x:c r="M31" s="130"/>
      <x:c r="N31" s="130"/>
      <x:c r="O31" s="130"/>
      <x:c r="P31" s="130"/>
      <x:c r="Q31" s="130"/>
      <x:c r="R31" s="130"/>
      <x:c r="S31" s="130"/>
      <x:c r="T31" s="130"/>
      <x:c r="U31" s="130"/>
      <x:c r="V31" s="130"/>
      <x:c r="W31" s="130"/>
      <x:c r="X31" s="130"/>
      <x:c r="Y31" s="130"/>
      <x:c r="Z31" s="130"/>
      <x:c r="AA31" s="130"/>
      <x:c r="AB31" s="130"/>
      <x:c r="AC31" s="130"/>
      <x:c r="AD31" s="130"/>
      <x:c r="AE31" s="130"/>
      <x:c r="AF31" s="130"/>
      <x:c r="AG31" s="130"/>
      <x:c r="AH31" s="130"/>
      <x:c r="AI31" s="130"/>
      <x:c r="AJ31" s="130"/>
      <x:c r="AK31" s="130"/>
      <x:c r="AL31" s="130"/>
      <x:c r="AM31" s="130"/>
      <x:c r="AN31" s="130"/>
      <x:c r="AO31" s="130"/>
      <x:c r="AP31" s="130"/>
      <x:c r="AQ31" s="130"/>
      <x:c r="AR31" s="130"/>
      <x:c r="AS31" s="130"/>
      <x:c r="AT31" s="130"/>
      <x:c r="AU31" s="130"/>
      <x:c r="AV31" s="130"/>
      <x:c r="AW31" s="130"/>
      <x:c r="AX31" s="130"/>
      <x:c r="AY31" s="130"/>
      <x:c r="AZ31" s="130"/>
    </x:row>
    <x:row r="32">
      <x:c r="A32" s="130"/>
      <x:c r="B32" s="130"/>
      <x:c r="C32" s="130"/>
      <x:c r="D32" s="130"/>
      <x:c r="E32" s="130"/>
      <x:c r="F32" s="130"/>
      <x:c r="G32" s="130"/>
      <x:c r="H32" s="130"/>
      <x:c r="I32" s="130"/>
      <x:c r="J32" s="130"/>
      <x:c r="K32" s="130"/>
      <x:c r="L32" s="130"/>
      <x:c r="M32" s="130"/>
      <x:c r="N32" s="130"/>
      <x:c r="O32" s="130"/>
      <x:c r="P32" s="130"/>
      <x:c r="Q32" s="130"/>
      <x:c r="R32" s="130"/>
      <x:c r="S32" s="130"/>
      <x:c r="T32" s="130"/>
      <x:c r="U32" s="130"/>
      <x:c r="V32" s="130"/>
      <x:c r="W32" s="130"/>
      <x:c r="X32" s="130"/>
      <x:c r="Y32" s="130"/>
      <x:c r="Z32" s="130"/>
      <x:c r="AA32" s="130"/>
      <x:c r="AB32" s="130"/>
      <x:c r="AC32" s="130"/>
      <x:c r="AD32" s="130"/>
      <x:c r="AE32" s="130"/>
      <x:c r="AF32" s="130"/>
      <x:c r="AG32" s="130"/>
      <x:c r="AH32" s="130"/>
      <x:c r="AI32" s="130"/>
      <x:c r="AJ32" s="130"/>
      <x:c r="AK32" s="130"/>
      <x:c r="AL32" s="130"/>
      <x:c r="AM32" s="130"/>
      <x:c r="AN32" s="130"/>
      <x:c r="AO32" s="130"/>
      <x:c r="AP32" s="130"/>
      <x:c r="AQ32" s="130"/>
      <x:c r="AR32" s="130"/>
      <x:c r="AS32" s="130"/>
      <x:c r="AT32" s="130"/>
      <x:c r="AU32" s="130"/>
      <x:c r="AV32" s="130"/>
      <x:c r="AW32" s="130"/>
      <x:c r="AX32" s="130"/>
      <x:c r="AY32" s="130"/>
      <x:c r="AZ32" s="130"/>
    </x:row>
    <x:row r="33">
      <x:c r="A33" s="130"/>
      <x:c r="B33" s="130"/>
      <x:c r="C33" s="130"/>
      <x:c r="D33" s="130"/>
      <x:c r="E33" s="130"/>
      <x:c r="F33" s="130"/>
      <x:c r="G33" s="130"/>
      <x:c r="H33" s="130"/>
      <x:c r="I33" s="130"/>
      <x:c r="J33" s="130"/>
      <x:c r="K33" s="130"/>
      <x:c r="L33" s="130"/>
      <x:c r="M33" s="130"/>
      <x:c r="N33" s="130"/>
      <x:c r="O33" s="130"/>
      <x:c r="P33" s="130"/>
      <x:c r="Q33" s="130"/>
      <x:c r="R33" s="130"/>
      <x:c r="S33" s="130"/>
      <x:c r="T33" s="130"/>
      <x:c r="U33" s="130"/>
      <x:c r="V33" s="130"/>
      <x:c r="W33" s="130"/>
      <x:c r="X33" s="130"/>
      <x:c r="Y33" s="130"/>
      <x:c r="Z33" s="130"/>
      <x:c r="AA33" s="130"/>
      <x:c r="AB33" s="130"/>
      <x:c r="AC33" s="130"/>
      <x:c r="AD33" s="130"/>
      <x:c r="AE33" s="130"/>
      <x:c r="AF33" s="130"/>
      <x:c r="AG33" s="130"/>
      <x:c r="AH33" s="130"/>
      <x:c r="AI33" s="130"/>
      <x:c r="AJ33" s="130"/>
      <x:c r="AK33" s="130"/>
      <x:c r="AL33" s="130"/>
      <x:c r="AM33" s="130"/>
      <x:c r="AN33" s="130"/>
      <x:c r="AO33" s="130"/>
      <x:c r="AP33" s="130"/>
      <x:c r="AQ33" s="130"/>
      <x:c r="AR33" s="130"/>
      <x:c r="AS33" s="130"/>
      <x:c r="AT33" s="130"/>
      <x:c r="AU33" s="130"/>
      <x:c r="AV33" s="130"/>
      <x:c r="AW33" s="130"/>
      <x:c r="AX33" s="130"/>
      <x:c r="AY33" s="130"/>
      <x:c r="AZ33" s="130"/>
    </x:row>
    <x:row r="34">
      <x:c r="A34" s="130"/>
      <x:c r="B34" s="130"/>
      <x:c r="C34" s="130"/>
      <x:c r="D34" s="130"/>
      <x:c r="E34" s="130"/>
      <x:c r="F34" s="130"/>
      <x:c r="G34" s="130"/>
      <x:c r="H34" s="130"/>
      <x:c r="I34" s="130"/>
      <x:c r="J34" s="130"/>
      <x:c r="K34" s="130"/>
      <x:c r="L34" s="130"/>
      <x:c r="M34" s="130"/>
      <x:c r="N34" s="130"/>
      <x:c r="O34" s="130"/>
      <x:c r="P34" s="130"/>
      <x:c r="Q34" s="130"/>
      <x:c r="R34" s="130"/>
      <x:c r="S34" s="130"/>
      <x:c r="T34" s="130"/>
      <x:c r="U34" s="130"/>
      <x:c r="V34" s="130"/>
      <x:c r="W34" s="130"/>
      <x:c r="X34" s="130"/>
      <x:c r="Y34" s="130"/>
      <x:c r="Z34" s="130"/>
      <x:c r="AA34" s="130"/>
      <x:c r="AB34" s="130"/>
      <x:c r="AC34" s="130"/>
      <x:c r="AD34" s="130"/>
      <x:c r="AE34" s="130"/>
      <x:c r="AF34" s="130"/>
      <x:c r="AG34" s="130"/>
      <x:c r="AH34" s="130"/>
      <x:c r="AI34" s="130"/>
      <x:c r="AJ34" s="130"/>
      <x:c r="AK34" s="130"/>
      <x:c r="AL34" s="130"/>
      <x:c r="AM34" s="130"/>
      <x:c r="AN34" s="130"/>
      <x:c r="AO34" s="130"/>
      <x:c r="AP34" s="130"/>
      <x:c r="AQ34" s="130"/>
      <x:c r="AR34" s="130"/>
      <x:c r="AS34" s="130"/>
      <x:c r="AT34" s="130"/>
      <x:c r="AU34" s="130"/>
      <x:c r="AV34" s="130"/>
      <x:c r="AW34" s="130"/>
      <x:c r="AX34" s="130"/>
      <x:c r="AY34" s="130"/>
      <x:c r="AZ34" s="130"/>
    </x:row>
    <x:row r="35">
      <x:c r="A35" s="130"/>
      <x:c r="B35" s="130"/>
      <x:c r="C35" s="130"/>
      <x:c r="D35" s="130"/>
      <x:c r="E35" s="130"/>
      <x:c r="F35" s="130"/>
      <x:c r="G35" s="130"/>
      <x:c r="H35" s="130"/>
      <x:c r="I35" s="130"/>
      <x:c r="J35" s="130"/>
      <x:c r="K35" s="130"/>
      <x:c r="L35" s="130"/>
      <x:c r="M35" s="130"/>
      <x:c r="N35" s="130"/>
      <x:c r="O35" s="130"/>
      <x:c r="P35" s="130"/>
      <x:c r="Q35" s="130"/>
      <x:c r="R35" s="130"/>
      <x:c r="S35" s="130"/>
      <x:c r="T35" s="130"/>
      <x:c r="U35" s="130"/>
      <x:c r="V35" s="130"/>
      <x:c r="W35" s="130"/>
      <x:c r="X35" s="130"/>
      <x:c r="Y35" s="130"/>
      <x:c r="Z35" s="130"/>
      <x:c r="AA35" s="130"/>
      <x:c r="AB35" s="130"/>
      <x:c r="AC35" s="130"/>
      <x:c r="AD35" s="130"/>
      <x:c r="AE35" s="130"/>
      <x:c r="AF35" s="130"/>
      <x:c r="AG35" s="130"/>
      <x:c r="AH35" s="130"/>
      <x:c r="AI35" s="130"/>
      <x:c r="AJ35" s="130"/>
      <x:c r="AK35" s="130"/>
      <x:c r="AL35" s="130"/>
      <x:c r="AM35" s="130"/>
      <x:c r="AN35" s="130"/>
      <x:c r="AO35" s="130"/>
      <x:c r="AP35" s="130"/>
      <x:c r="AQ35" s="130"/>
      <x:c r="AR35" s="130"/>
      <x:c r="AS35" s="130"/>
      <x:c r="AT35" s="130"/>
      <x:c r="AU35" s="130"/>
      <x:c r="AV35" s="130"/>
      <x:c r="AW35" s="130"/>
      <x:c r="AX35" s="130"/>
      <x:c r="AY35" s="130"/>
      <x:c r="AZ35" s="130"/>
    </x:row>
    <x:row r="36">
      <x:c r="A36" s="130"/>
      <x:c r="B36" s="130"/>
      <x:c r="C36" s="130"/>
      <x:c r="D36" s="130"/>
      <x:c r="E36" s="130"/>
      <x:c r="F36" s="130"/>
      <x:c r="G36" s="130"/>
      <x:c r="H36" s="130"/>
      <x:c r="I36" s="130"/>
      <x:c r="J36" s="130"/>
      <x:c r="K36" s="130"/>
      <x:c r="L36" s="130"/>
      <x:c r="M36" s="130"/>
      <x:c r="N36" s="130"/>
      <x:c r="O36" s="130"/>
      <x:c r="P36" s="130"/>
      <x:c r="Q36" s="130"/>
      <x:c r="R36" s="130"/>
      <x:c r="S36" s="130"/>
      <x:c r="T36" s="130"/>
      <x:c r="U36" s="130"/>
      <x:c r="V36" s="130"/>
      <x:c r="W36" s="130"/>
      <x:c r="X36" s="130"/>
      <x:c r="Y36" s="130"/>
      <x:c r="Z36" s="130"/>
      <x:c r="AA36" s="130"/>
      <x:c r="AB36" s="130"/>
      <x:c r="AC36" s="130"/>
      <x:c r="AD36" s="130"/>
      <x:c r="AE36" s="130"/>
      <x:c r="AF36" s="130"/>
      <x:c r="AG36" s="130"/>
      <x:c r="AH36" s="130"/>
      <x:c r="AI36" s="130"/>
      <x:c r="AJ36" s="130"/>
      <x:c r="AK36" s="130"/>
      <x:c r="AL36" s="130"/>
      <x:c r="AM36" s="130"/>
      <x:c r="AN36" s="130"/>
      <x:c r="AO36" s="130"/>
      <x:c r="AP36" s="130"/>
      <x:c r="AQ36" s="130"/>
      <x:c r="AR36" s="130"/>
      <x:c r="AS36" s="130"/>
      <x:c r="AT36" s="130"/>
      <x:c r="AU36" s="130"/>
      <x:c r="AV36" s="130"/>
      <x:c r="AW36" s="130"/>
      <x:c r="AX36" s="130"/>
      <x:c r="AY36" s="130"/>
      <x:c r="AZ36" s="130"/>
    </x:row>
    <x:row r="37">
      <x:c r="A37" s="130"/>
      <x:c r="B37" s="130"/>
      <x:c r="C37" s="130"/>
      <x:c r="D37" s="130"/>
      <x:c r="E37" s="130"/>
      <x:c r="F37" s="130"/>
      <x:c r="G37" s="130"/>
      <x:c r="H37" s="130"/>
      <x:c r="I37" s="130"/>
      <x:c r="J37" s="130"/>
      <x:c r="K37" s="130"/>
      <x:c r="L37" s="130"/>
      <x:c r="M37" s="130"/>
      <x:c r="N37" s="130"/>
      <x:c r="O37" s="130"/>
      <x:c r="P37" s="130"/>
      <x:c r="Q37" s="130"/>
      <x:c r="R37" s="130"/>
      <x:c r="S37" s="130"/>
      <x:c r="T37" s="130"/>
      <x:c r="U37" s="130"/>
      <x:c r="V37" s="130"/>
      <x:c r="W37" s="130"/>
      <x:c r="X37" s="130"/>
      <x:c r="Y37" s="130"/>
      <x:c r="Z37" s="130"/>
      <x:c r="AA37" s="130"/>
      <x:c r="AB37" s="130"/>
      <x:c r="AC37" s="130"/>
      <x:c r="AD37" s="130"/>
      <x:c r="AE37" s="130"/>
      <x:c r="AF37" s="130"/>
      <x:c r="AG37" s="130"/>
      <x:c r="AH37" s="130"/>
      <x:c r="AI37" s="130"/>
      <x:c r="AJ37" s="130"/>
      <x:c r="AK37" s="130"/>
      <x:c r="AL37" s="130"/>
      <x:c r="AM37" s="130"/>
      <x:c r="AN37" s="130"/>
      <x:c r="AO37" s="130"/>
      <x:c r="AP37" s="130"/>
      <x:c r="AQ37" s="130"/>
      <x:c r="AR37" s="130"/>
      <x:c r="AS37" s="130"/>
      <x:c r="AT37" s="130"/>
      <x:c r="AU37" s="130"/>
      <x:c r="AV37" s="130"/>
      <x:c r="AW37" s="130"/>
      <x:c r="AX37" s="130"/>
      <x:c r="AY37" s="130"/>
      <x:c r="AZ37" s="130"/>
    </x:row>
    <x:row r="38">
      <x:c r="A38" s="130"/>
      <x:c r="B38" s="130"/>
      <x:c r="C38" s="130"/>
      <x:c r="D38" s="130"/>
      <x:c r="E38" s="130"/>
      <x:c r="F38" s="130"/>
      <x:c r="G38" s="130"/>
      <x:c r="H38" s="130"/>
      <x:c r="I38" s="130"/>
      <x:c r="J38" s="130"/>
      <x:c r="K38" s="130"/>
      <x:c r="L38" s="130"/>
      <x:c r="M38" s="130"/>
      <x:c r="N38" s="130"/>
      <x:c r="O38" s="130"/>
      <x:c r="P38" s="130"/>
      <x:c r="Q38" s="130"/>
      <x:c r="R38" s="130"/>
      <x:c r="S38" s="130"/>
      <x:c r="T38" s="130"/>
      <x:c r="U38" s="130"/>
      <x:c r="V38" s="130"/>
      <x:c r="W38" s="130"/>
      <x:c r="X38" s="130"/>
      <x:c r="Y38" s="130"/>
      <x:c r="Z38" s="130"/>
      <x:c r="AA38" s="130"/>
      <x:c r="AB38" s="130"/>
      <x:c r="AC38" s="130"/>
      <x:c r="AD38" s="130"/>
      <x:c r="AE38" s="130"/>
      <x:c r="AF38" s="130"/>
      <x:c r="AG38" s="130"/>
      <x:c r="AH38" s="130"/>
      <x:c r="AI38" s="130"/>
      <x:c r="AJ38" s="130"/>
      <x:c r="AK38" s="130"/>
      <x:c r="AL38" s="130"/>
      <x:c r="AM38" s="130"/>
      <x:c r="AN38" s="130"/>
      <x:c r="AO38" s="130"/>
      <x:c r="AP38" s="130"/>
      <x:c r="AQ38" s="130"/>
      <x:c r="AR38" s="130"/>
      <x:c r="AS38" s="130"/>
      <x:c r="AT38" s="130"/>
      <x:c r="AU38" s="130"/>
      <x:c r="AV38" s="130"/>
      <x:c r="AW38" s="130"/>
      <x:c r="AX38" s="130"/>
      <x:c r="AY38" s="130"/>
      <x:c r="AZ38" s="130"/>
    </x:row>
    <x:row r="39">
      <x:c r="A39" s="130"/>
      <x:c r="B39" s="130"/>
      <x:c r="C39" s="130"/>
      <x:c r="D39" s="130"/>
      <x:c r="E39" s="130"/>
      <x:c r="F39" s="130"/>
      <x:c r="G39" s="130"/>
      <x:c r="H39" s="130"/>
      <x:c r="I39" s="130"/>
      <x:c r="J39" s="130"/>
      <x:c r="K39" s="130"/>
      <x:c r="L39" s="130"/>
      <x:c r="M39" s="130"/>
      <x:c r="N39" s="130"/>
      <x:c r="O39" s="130"/>
      <x:c r="P39" s="130"/>
      <x:c r="Q39" s="130"/>
      <x:c r="R39" s="130"/>
      <x:c r="S39" s="130"/>
      <x:c r="T39" s="130"/>
      <x:c r="U39" s="130"/>
      <x:c r="V39" s="130"/>
      <x:c r="W39" s="130"/>
      <x:c r="X39" s="130"/>
      <x:c r="Y39" s="130"/>
      <x:c r="Z39" s="130"/>
      <x:c r="AA39" s="130"/>
      <x:c r="AB39" s="130"/>
      <x:c r="AC39" s="130"/>
      <x:c r="AD39" s="130"/>
      <x:c r="AE39" s="130"/>
      <x:c r="AF39" s="130"/>
      <x:c r="AG39" s="130"/>
      <x:c r="AH39" s="130"/>
      <x:c r="AI39" s="130"/>
      <x:c r="AJ39" s="130"/>
      <x:c r="AK39" s="130"/>
      <x:c r="AL39" s="130"/>
      <x:c r="AM39" s="130"/>
      <x:c r="AN39" s="130"/>
      <x:c r="AO39" s="130"/>
      <x:c r="AP39" s="130"/>
      <x:c r="AQ39" s="130"/>
      <x:c r="AR39" s="130"/>
      <x:c r="AS39" s="130"/>
      <x:c r="AT39" s="130"/>
      <x:c r="AU39" s="130"/>
      <x:c r="AV39" s="130"/>
      <x:c r="AW39" s="130"/>
      <x:c r="AX39" s="130"/>
      <x:c r="AY39" s="130"/>
      <x:c r="AZ39" s="130"/>
    </x:row>
    <x:row r="40">
      <x:c r="A40" s="130"/>
      <x:c r="B40" s="130"/>
      <x:c r="C40" s="130"/>
      <x:c r="D40" s="130"/>
      <x:c r="E40" s="130"/>
      <x:c r="F40" s="130"/>
      <x:c r="G40" s="130"/>
      <x:c r="H40" s="130"/>
      <x:c r="I40" s="130"/>
      <x:c r="J40" s="130"/>
      <x:c r="K40" s="130"/>
      <x:c r="L40" s="130"/>
      <x:c r="M40" s="130"/>
      <x:c r="N40" s="130"/>
      <x:c r="O40" s="130"/>
      <x:c r="P40" s="130"/>
      <x:c r="Q40" s="130"/>
      <x:c r="R40" s="130"/>
      <x:c r="S40" s="130"/>
      <x:c r="T40" s="130"/>
      <x:c r="U40" s="130"/>
      <x:c r="V40" s="130"/>
      <x:c r="W40" s="130"/>
      <x:c r="X40" s="130"/>
      <x:c r="Y40" s="130"/>
      <x:c r="Z40" s="130"/>
      <x:c r="AA40" s="130"/>
      <x:c r="AB40" s="130"/>
      <x:c r="AC40" s="130"/>
      <x:c r="AD40" s="130"/>
      <x:c r="AE40" s="130"/>
      <x:c r="AF40" s="130"/>
      <x:c r="AG40" s="130"/>
      <x:c r="AH40" s="130"/>
      <x:c r="AI40" s="130"/>
      <x:c r="AJ40" s="130"/>
      <x:c r="AK40" s="130"/>
      <x:c r="AL40" s="130"/>
      <x:c r="AM40" s="130"/>
      <x:c r="AN40" s="130"/>
      <x:c r="AO40" s="130"/>
      <x:c r="AP40" s="130"/>
      <x:c r="AQ40" s="130"/>
      <x:c r="AR40" s="130"/>
      <x:c r="AS40" s="130"/>
      <x:c r="AT40" s="130"/>
      <x:c r="AU40" s="130"/>
      <x:c r="AV40" s="130"/>
      <x:c r="AW40" s="130"/>
      <x:c r="AX40" s="130"/>
      <x:c r="AY40" s="130"/>
      <x:c r="AZ40" s="130"/>
    </x:row>
    <x:row r="41">
      <x:c r="A41" s="130"/>
      <x:c r="B41" s="130"/>
      <x:c r="C41" s="130"/>
      <x:c r="D41" s="130"/>
      <x:c r="E41" s="130"/>
      <x:c r="F41" s="130"/>
      <x:c r="G41" s="130"/>
      <x:c r="H41" s="130"/>
      <x:c r="I41" s="130"/>
      <x:c r="J41" s="130"/>
      <x:c r="K41" s="130"/>
      <x:c r="L41" s="130"/>
      <x:c r="M41" s="130"/>
      <x:c r="N41" s="130"/>
      <x:c r="O41" s="130"/>
      <x:c r="P41" s="130"/>
      <x:c r="Q41" s="130"/>
      <x:c r="R41" s="130"/>
      <x:c r="S41" s="130"/>
      <x:c r="T41" s="130"/>
      <x:c r="U41" s="130"/>
      <x:c r="V41" s="130"/>
      <x:c r="W41" s="130"/>
      <x:c r="X41" s="130"/>
      <x:c r="Y41" s="130"/>
      <x:c r="Z41" s="130"/>
      <x:c r="AA41" s="130"/>
      <x:c r="AB41" s="130"/>
      <x:c r="AC41" s="130"/>
      <x:c r="AD41" s="130"/>
      <x:c r="AE41" s="130"/>
      <x:c r="AF41" s="130"/>
      <x:c r="AG41" s="130"/>
      <x:c r="AH41" s="130"/>
      <x:c r="AI41" s="130"/>
      <x:c r="AJ41" s="130"/>
      <x:c r="AK41" s="130"/>
      <x:c r="AL41" s="130"/>
      <x:c r="AM41" s="130"/>
      <x:c r="AN41" s="130"/>
      <x:c r="AO41" s="130"/>
      <x:c r="AP41" s="130"/>
      <x:c r="AQ41" s="130"/>
      <x:c r="AR41" s="130"/>
      <x:c r="AS41" s="130"/>
      <x:c r="AT41" s="130"/>
      <x:c r="AU41" s="130"/>
      <x:c r="AV41" s="130"/>
      <x:c r="AW41" s="130"/>
      <x:c r="AX41" s="130"/>
      <x:c r="AY41" s="130"/>
      <x:c r="AZ41" s="130"/>
    </x:row>
    <x:row r="42">
      <x:c r="A42" s="130"/>
      <x:c r="B42" s="130"/>
      <x:c r="C42" s="130"/>
      <x:c r="D42" s="130"/>
      <x:c r="E42" s="130"/>
      <x:c r="F42" s="130"/>
      <x:c r="G42" s="130"/>
      <x:c r="H42" s="130"/>
      <x:c r="I42" s="130"/>
      <x:c r="J42" s="130"/>
      <x:c r="K42" s="130"/>
      <x:c r="L42" s="130"/>
      <x:c r="M42" s="130"/>
      <x:c r="N42" s="130"/>
      <x:c r="O42" s="130"/>
      <x:c r="P42" s="130"/>
      <x:c r="Q42" s="130"/>
      <x:c r="R42" s="130"/>
      <x:c r="S42" s="130"/>
      <x:c r="T42" s="130"/>
      <x:c r="U42" s="130"/>
      <x:c r="V42" s="130"/>
      <x:c r="W42" s="130"/>
      <x:c r="X42" s="130"/>
      <x:c r="Y42" s="130"/>
      <x:c r="Z42" s="130"/>
      <x:c r="AA42" s="130"/>
      <x:c r="AB42" s="130"/>
      <x:c r="AC42" s="130"/>
      <x:c r="AD42" s="130"/>
      <x:c r="AE42" s="130"/>
      <x:c r="AF42" s="130"/>
      <x:c r="AG42" s="130"/>
      <x:c r="AH42" s="130"/>
      <x:c r="AI42" s="130"/>
      <x:c r="AJ42" s="130"/>
      <x:c r="AK42" s="130"/>
      <x:c r="AL42" s="130"/>
      <x:c r="AM42" s="130"/>
      <x:c r="AN42" s="130"/>
      <x:c r="AO42" s="130"/>
      <x:c r="AP42" s="130"/>
      <x:c r="AQ42" s="130"/>
      <x:c r="AR42" s="130"/>
      <x:c r="AS42" s="130"/>
      <x:c r="AT42" s="130"/>
      <x:c r="AU42" s="130"/>
      <x:c r="AV42" s="130"/>
      <x:c r="AW42" s="130"/>
      <x:c r="AX42" s="130"/>
      <x:c r="AY42" s="130"/>
      <x:c r="AZ42" s="130"/>
    </x:row>
    <x:row r="43">
      <x:c r="A43" s="130"/>
      <x:c r="B43" s="130"/>
      <x:c r="C43" s="130"/>
      <x:c r="D43" s="130"/>
      <x:c r="E43" s="130"/>
      <x:c r="F43" s="130"/>
      <x:c r="G43" s="130"/>
      <x:c r="H43" s="130"/>
      <x:c r="I43" s="130"/>
      <x:c r="J43" s="130"/>
      <x:c r="K43" s="130"/>
      <x:c r="L43" s="130"/>
      <x:c r="M43" s="130"/>
      <x:c r="N43" s="130"/>
      <x:c r="O43" s="130"/>
      <x:c r="P43" s="130"/>
      <x:c r="Q43" s="130"/>
      <x:c r="R43" s="130"/>
      <x:c r="S43" s="130"/>
      <x:c r="T43" s="130"/>
      <x:c r="U43" s="130"/>
      <x:c r="V43" s="130"/>
      <x:c r="W43" s="130"/>
      <x:c r="X43" s="130"/>
      <x:c r="Y43" s="130"/>
      <x:c r="Z43" s="130"/>
      <x:c r="AA43" s="130"/>
      <x:c r="AB43" s="130"/>
      <x:c r="AC43" s="130"/>
      <x:c r="AD43" s="130"/>
      <x:c r="AE43" s="130"/>
      <x:c r="AF43" s="130"/>
      <x:c r="AG43" s="130"/>
      <x:c r="AH43" s="130"/>
      <x:c r="AI43" s="130"/>
      <x:c r="AJ43" s="130"/>
      <x:c r="AK43" s="130"/>
      <x:c r="AL43" s="130"/>
      <x:c r="AM43" s="130"/>
      <x:c r="AN43" s="130"/>
      <x:c r="AO43" s="130"/>
      <x:c r="AP43" s="130"/>
      <x:c r="AQ43" s="130"/>
      <x:c r="AR43" s="130"/>
      <x:c r="AS43" s="130"/>
      <x:c r="AT43" s="130"/>
      <x:c r="AU43" s="130"/>
      <x:c r="AV43" s="130"/>
      <x:c r="AW43" s="130"/>
      <x:c r="AX43" s="130"/>
      <x:c r="AY43" s="130"/>
      <x:c r="AZ43" s="130"/>
    </x:row>
    <x:row r="44">
      <x:c r="A44" s="130"/>
      <x:c r="B44" s="130"/>
      <x:c r="C44" s="130"/>
      <x:c r="D44" s="130"/>
      <x:c r="E44" s="130"/>
      <x:c r="F44" s="130"/>
      <x:c r="G44" s="130"/>
      <x:c r="H44" s="130"/>
      <x:c r="I44" s="130"/>
      <x:c r="J44" s="130"/>
      <x:c r="K44" s="130"/>
      <x:c r="L44" s="130"/>
      <x:c r="M44" s="130"/>
      <x:c r="N44" s="130"/>
      <x:c r="O44" s="130"/>
      <x:c r="P44" s="130"/>
      <x:c r="Q44" s="130"/>
      <x:c r="R44" s="130"/>
      <x:c r="S44" s="130"/>
      <x:c r="T44" s="130"/>
      <x:c r="U44" s="130"/>
      <x:c r="V44" s="130"/>
      <x:c r="W44" s="130"/>
      <x:c r="X44" s="130"/>
      <x:c r="Y44" s="130"/>
      <x:c r="Z44" s="130"/>
      <x:c r="AA44" s="130"/>
      <x:c r="AB44" s="130"/>
      <x:c r="AC44" s="130"/>
      <x:c r="AD44" s="130"/>
      <x:c r="AE44" s="130"/>
      <x:c r="AF44" s="130"/>
      <x:c r="AG44" s="130"/>
      <x:c r="AH44" s="130"/>
      <x:c r="AI44" s="130"/>
      <x:c r="AJ44" s="130"/>
      <x:c r="AK44" s="130"/>
      <x:c r="AL44" s="130"/>
      <x:c r="AM44" s="130"/>
      <x:c r="AN44" s="130"/>
      <x:c r="AO44" s="130"/>
      <x:c r="AP44" s="130"/>
      <x:c r="AQ44" s="130"/>
      <x:c r="AR44" s="130"/>
      <x:c r="AS44" s="130"/>
      <x:c r="AT44" s="130"/>
      <x:c r="AU44" s="130"/>
      <x:c r="AV44" s="130"/>
      <x:c r="AW44" s="130"/>
      <x:c r="AX44" s="130"/>
      <x:c r="AY44" s="130"/>
      <x:c r="AZ44" s="130"/>
    </x:row>
    <x:row r="45">
      <x:c r="A45" s="130"/>
      <x:c r="B45" s="130"/>
      <x:c r="C45" s="130"/>
      <x:c r="D45" s="130"/>
      <x:c r="E45" s="130"/>
      <x:c r="F45" s="130"/>
      <x:c r="G45" s="130"/>
      <x:c r="H45" s="130"/>
      <x:c r="I45" s="130"/>
      <x:c r="J45" s="130"/>
      <x:c r="K45" s="130"/>
      <x:c r="L45" s="130"/>
      <x:c r="M45" s="130"/>
      <x:c r="N45" s="130"/>
      <x:c r="O45" s="130"/>
      <x:c r="P45" s="130"/>
      <x:c r="Q45" s="130"/>
      <x:c r="R45" s="130"/>
      <x:c r="S45" s="130"/>
      <x:c r="T45" s="130"/>
      <x:c r="U45" s="130"/>
      <x:c r="V45" s="130"/>
      <x:c r="W45" s="130"/>
      <x:c r="X45" s="130"/>
      <x:c r="Y45" s="130"/>
      <x:c r="Z45" s="130"/>
      <x:c r="AA45" s="130"/>
      <x:c r="AB45" s="130"/>
      <x:c r="AC45" s="130"/>
      <x:c r="AD45" s="130"/>
      <x:c r="AE45" s="130"/>
      <x:c r="AF45" s="130"/>
      <x:c r="AG45" s="130"/>
      <x:c r="AH45" s="130"/>
      <x:c r="AI45" s="130"/>
      <x:c r="AJ45" s="130"/>
      <x:c r="AK45" s="130"/>
      <x:c r="AL45" s="130"/>
      <x:c r="AM45" s="130"/>
      <x:c r="AN45" s="130"/>
      <x:c r="AO45" s="130"/>
      <x:c r="AP45" s="130"/>
      <x:c r="AQ45" s="130"/>
      <x:c r="AR45" s="130"/>
      <x:c r="AS45" s="130"/>
      <x:c r="AT45" s="130"/>
      <x:c r="AU45" s="130"/>
      <x:c r="AV45" s="130"/>
      <x:c r="AW45" s="130"/>
      <x:c r="AX45" s="130"/>
      <x:c r="AY45" s="130"/>
      <x:c r="AZ45" s="130"/>
    </x:row>
    <x:row r="46">
      <x:c r="A46" s="130"/>
      <x:c r="B46" s="130"/>
      <x:c r="C46" s="130"/>
      <x:c r="D46" s="130"/>
      <x:c r="E46" s="130"/>
      <x:c r="F46" s="130"/>
      <x:c r="G46" s="130"/>
      <x:c r="H46" s="130"/>
      <x:c r="I46" s="130"/>
      <x:c r="J46" s="130"/>
      <x:c r="K46" s="130"/>
      <x:c r="L46" s="130"/>
      <x:c r="M46" s="130"/>
      <x:c r="N46" s="130"/>
      <x:c r="O46" s="130"/>
      <x:c r="P46" s="130"/>
      <x:c r="Q46" s="130"/>
      <x:c r="R46" s="130"/>
      <x:c r="S46" s="130"/>
      <x:c r="T46" s="130"/>
      <x:c r="U46" s="130"/>
      <x:c r="V46" s="130"/>
      <x:c r="W46" s="130"/>
      <x:c r="X46" s="130"/>
      <x:c r="Y46" s="130"/>
      <x:c r="Z46" s="130"/>
      <x:c r="AA46" s="130"/>
      <x:c r="AB46" s="130"/>
      <x:c r="AC46" s="130"/>
      <x:c r="AD46" s="130"/>
      <x:c r="AE46" s="130"/>
      <x:c r="AF46" s="130"/>
      <x:c r="AG46" s="130"/>
      <x:c r="AH46" s="130"/>
      <x:c r="AI46" s="130"/>
      <x:c r="AJ46" s="130"/>
      <x:c r="AK46" s="130"/>
      <x:c r="AL46" s="130"/>
      <x:c r="AM46" s="130"/>
      <x:c r="AN46" s="130"/>
      <x:c r="AO46" s="130"/>
      <x:c r="AP46" s="130"/>
      <x:c r="AQ46" s="130"/>
      <x:c r="AR46" s="130"/>
      <x:c r="AS46" s="130"/>
      <x:c r="AT46" s="130"/>
      <x:c r="AU46" s="130"/>
      <x:c r="AV46" s="130"/>
      <x:c r="AW46" s="130"/>
      <x:c r="AX46" s="130"/>
      <x:c r="AY46" s="130"/>
      <x:c r="AZ46" s="130"/>
    </x:row>
    <x:row r="47">
      <x:c r="A47" s="130"/>
      <x:c r="B47" s="130"/>
      <x:c r="C47" s="130"/>
      <x:c r="D47" s="130"/>
      <x:c r="E47" s="130"/>
      <x:c r="F47" s="130"/>
      <x:c r="G47" s="130"/>
      <x:c r="H47" s="130"/>
      <x:c r="I47" s="130"/>
      <x:c r="J47" s="130"/>
      <x:c r="K47" s="130"/>
      <x:c r="L47" s="130"/>
      <x:c r="M47" s="130"/>
      <x:c r="N47" s="130"/>
      <x:c r="O47" s="130"/>
      <x:c r="P47" s="130"/>
      <x:c r="Q47" s="130"/>
      <x:c r="R47" s="130"/>
      <x:c r="S47" s="130"/>
      <x:c r="T47" s="130"/>
      <x:c r="U47" s="130"/>
      <x:c r="V47" s="130"/>
      <x:c r="W47" s="130"/>
      <x:c r="X47" s="130"/>
      <x:c r="Y47" s="130"/>
      <x:c r="Z47" s="130"/>
      <x:c r="AA47" s="130"/>
      <x:c r="AB47" s="130"/>
      <x:c r="AC47" s="130"/>
      <x:c r="AD47" s="130"/>
      <x:c r="AE47" s="130"/>
      <x:c r="AF47" s="130"/>
      <x:c r="AG47" s="130"/>
      <x:c r="AH47" s="130"/>
      <x:c r="AI47" s="130"/>
      <x:c r="AJ47" s="130"/>
      <x:c r="AK47" s="130"/>
      <x:c r="AL47" s="130"/>
      <x:c r="AM47" s="130"/>
      <x:c r="AN47" s="130"/>
      <x:c r="AO47" s="130"/>
      <x:c r="AP47" s="130"/>
      <x:c r="AQ47" s="130"/>
      <x:c r="AR47" s="130"/>
      <x:c r="AS47" s="130"/>
      <x:c r="AT47" s="130"/>
      <x:c r="AU47" s="130"/>
      <x:c r="AV47" s="130"/>
      <x:c r="AW47" s="130"/>
      <x:c r="AX47" s="130"/>
      <x:c r="AY47" s="130"/>
      <x:c r="AZ47" s="130"/>
    </x:row>
    <x:row r="48">
      <x:c r="A48" s="130"/>
      <x:c r="B48" s="130"/>
      <x:c r="C48" s="130"/>
      <x:c r="D48" s="130"/>
      <x:c r="E48" s="130"/>
      <x:c r="F48" s="130"/>
      <x:c r="G48" s="130"/>
      <x:c r="H48" s="130"/>
      <x:c r="I48" s="130"/>
      <x:c r="J48" s="130"/>
      <x:c r="K48" s="130"/>
      <x:c r="L48" s="130"/>
      <x:c r="M48" s="130"/>
      <x:c r="N48" s="130"/>
      <x:c r="O48" s="130"/>
      <x:c r="P48" s="130"/>
      <x:c r="Q48" s="130"/>
      <x:c r="R48" s="130"/>
      <x:c r="S48" s="130"/>
      <x:c r="T48" s="130"/>
      <x:c r="U48" s="130"/>
      <x:c r="V48" s="130"/>
      <x:c r="W48" s="130"/>
      <x:c r="X48" s="130"/>
      <x:c r="Y48" s="130"/>
      <x:c r="Z48" s="130"/>
      <x:c r="AA48" s="130"/>
      <x:c r="AB48" s="130"/>
      <x:c r="AC48" s="130"/>
      <x:c r="AD48" s="130"/>
      <x:c r="AE48" s="130"/>
      <x:c r="AF48" s="130"/>
      <x:c r="AG48" s="130"/>
      <x:c r="AH48" s="130"/>
      <x:c r="AI48" s="130"/>
      <x:c r="AJ48" s="130"/>
      <x:c r="AK48" s="130"/>
      <x:c r="AL48" s="130"/>
      <x:c r="AM48" s="130"/>
      <x:c r="AN48" s="130"/>
      <x:c r="AO48" s="130"/>
      <x:c r="AP48" s="130"/>
      <x:c r="AQ48" s="130"/>
      <x:c r="AR48" s="130"/>
      <x:c r="AS48" s="130"/>
      <x:c r="AT48" s="130"/>
      <x:c r="AU48" s="130"/>
      <x:c r="AV48" s="130"/>
      <x:c r="AW48" s="130"/>
      <x:c r="AX48" s="130"/>
      <x:c r="AY48" s="130"/>
      <x:c r="AZ48" s="130"/>
    </x:row>
    <x:row r="49">
      <x:c r="A49" s="130"/>
      <x:c r="B49" s="130"/>
      <x:c r="C49" s="130"/>
      <x:c r="D49" s="130"/>
      <x:c r="E49" s="130"/>
      <x:c r="F49" s="130"/>
      <x:c r="G49" s="130"/>
      <x:c r="H49" s="130"/>
      <x:c r="I49" s="130"/>
      <x:c r="J49" s="130"/>
      <x:c r="K49" s="130"/>
      <x:c r="L49" s="130"/>
      <x:c r="M49" s="130"/>
      <x:c r="N49" s="130"/>
      <x:c r="O49" s="130"/>
      <x:c r="P49" s="130"/>
      <x:c r="Q49" s="130"/>
      <x:c r="R49" s="130"/>
      <x:c r="S49" s="130"/>
      <x:c r="T49" s="130"/>
      <x:c r="U49" s="130"/>
      <x:c r="V49" s="130"/>
      <x:c r="W49" s="130"/>
      <x:c r="X49" s="130"/>
      <x:c r="Y49" s="130"/>
      <x:c r="Z49" s="130"/>
      <x:c r="AA49" s="130"/>
      <x:c r="AB49" s="130"/>
      <x:c r="AC49" s="130"/>
      <x:c r="AD49" s="130"/>
      <x:c r="AE49" s="130"/>
      <x:c r="AF49" s="130"/>
      <x:c r="AG49" s="130"/>
      <x:c r="AH49" s="130"/>
      <x:c r="AI49" s="130"/>
      <x:c r="AJ49" s="130"/>
      <x:c r="AK49" s="130"/>
      <x:c r="AL49" s="130"/>
      <x:c r="AM49" s="130"/>
      <x:c r="AN49" s="130"/>
      <x:c r="AO49" s="130"/>
      <x:c r="AP49" s="130"/>
      <x:c r="AQ49" s="130"/>
      <x:c r="AR49" s="130"/>
      <x:c r="AS49" s="130"/>
      <x:c r="AT49" s="130"/>
      <x:c r="AU49" s="130"/>
      <x:c r="AV49" s="130"/>
      <x:c r="AW49" s="130"/>
      <x:c r="AX49" s="130"/>
      <x:c r="AY49" s="130"/>
      <x:c r="AZ49" s="130"/>
    </x:row>
    <x:row r="50">
      <x:c r="A50" s="130"/>
      <x:c r="B50" s="130"/>
      <x:c r="C50" s="130"/>
      <x:c r="D50" s="130"/>
      <x:c r="E50" s="130"/>
      <x:c r="F50" s="130"/>
      <x:c r="G50" s="130"/>
      <x:c r="H50" s="130"/>
      <x:c r="I50" s="130"/>
      <x:c r="J50" s="130"/>
      <x:c r="K50" s="130"/>
      <x:c r="L50" s="130"/>
      <x:c r="M50" s="130"/>
      <x:c r="N50" s="130"/>
      <x:c r="O50" s="130"/>
      <x:c r="P50" s="130"/>
      <x:c r="Q50" s="130"/>
      <x:c r="R50" s="130"/>
      <x:c r="S50" s="130"/>
      <x:c r="T50" s="130"/>
      <x:c r="U50" s="130"/>
      <x:c r="V50" s="130"/>
      <x:c r="W50" s="130"/>
      <x:c r="X50" s="130"/>
      <x:c r="Y50" s="130"/>
      <x:c r="Z50" s="130"/>
      <x:c r="AA50" s="130"/>
      <x:c r="AB50" s="130"/>
      <x:c r="AC50" s="130"/>
      <x:c r="AD50" s="130"/>
      <x:c r="AE50" s="130"/>
      <x:c r="AF50" s="130"/>
      <x:c r="AG50" s="130"/>
      <x:c r="AH50" s="130"/>
      <x:c r="AI50" s="130"/>
      <x:c r="AJ50" s="130"/>
      <x:c r="AK50" s="130"/>
      <x:c r="AL50" s="130"/>
      <x:c r="AM50" s="130"/>
      <x:c r="AN50" s="130"/>
      <x:c r="AO50" s="130"/>
      <x:c r="AP50" s="130"/>
      <x:c r="AQ50" s="130"/>
      <x:c r="AR50" s="130"/>
      <x:c r="AS50" s="130"/>
      <x:c r="AT50" s="130"/>
      <x:c r="AU50" s="130"/>
      <x:c r="AV50" s="130"/>
      <x:c r="AW50" s="130"/>
      <x:c r="AX50" s="130"/>
      <x:c r="AY50" s="130"/>
      <x:c r="AZ50" s="130"/>
    </x:row>
    <x:row r="51">
      <x:c r="A51" s="130"/>
      <x:c r="B51" s="130"/>
      <x:c r="C51" s="130"/>
      <x:c r="D51" s="130"/>
      <x:c r="E51" s="130"/>
      <x:c r="F51" s="130"/>
      <x:c r="G51" s="130"/>
      <x:c r="H51" s="130"/>
      <x:c r="I51" s="130"/>
      <x:c r="J51" s="130"/>
      <x:c r="K51" s="130"/>
      <x:c r="L51" s="130"/>
      <x:c r="M51" s="130"/>
      <x:c r="N51" s="130"/>
      <x:c r="O51" s="130"/>
      <x:c r="P51" s="130"/>
      <x:c r="Q51" s="130"/>
      <x:c r="R51" s="130"/>
      <x:c r="S51" s="130"/>
      <x:c r="T51" s="130"/>
      <x:c r="U51" s="130"/>
      <x:c r="V51" s="130"/>
      <x:c r="W51" s="130"/>
      <x:c r="X51" s="130"/>
      <x:c r="Y51" s="130"/>
      <x:c r="Z51" s="130"/>
      <x:c r="AA51" s="130"/>
      <x:c r="AB51" s="130"/>
      <x:c r="AC51" s="130"/>
      <x:c r="AD51" s="130"/>
      <x:c r="AE51" s="130"/>
      <x:c r="AF51" s="130"/>
      <x:c r="AG51" s="130"/>
      <x:c r="AH51" s="130"/>
      <x:c r="AI51" s="130"/>
      <x:c r="AJ51" s="130"/>
      <x:c r="AK51" s="130"/>
      <x:c r="AL51" s="130"/>
      <x:c r="AM51" s="130"/>
      <x:c r="AN51" s="130"/>
      <x:c r="AO51" s="130"/>
      <x:c r="AP51" s="130"/>
      <x:c r="AQ51" s="130"/>
      <x:c r="AR51" s="130"/>
      <x:c r="AS51" s="130"/>
      <x:c r="AT51" s="130"/>
      <x:c r="AU51" s="130"/>
      <x:c r="AV51" s="130"/>
      <x:c r="AW51" s="130"/>
      <x:c r="AX51" s="130"/>
      <x:c r="AY51" s="130"/>
      <x:c r="AZ51" s="130"/>
    </x:row>
    <x:row r="52">
      <x:c r="A52" s="130"/>
      <x:c r="B52" s="130"/>
      <x:c r="C52" s="130"/>
      <x:c r="D52" s="130"/>
      <x:c r="E52" s="130"/>
      <x:c r="F52" s="130"/>
      <x:c r="G52" s="130"/>
      <x:c r="H52" s="130"/>
      <x:c r="I52" s="130"/>
      <x:c r="J52" s="130"/>
      <x:c r="K52" s="130"/>
      <x:c r="L52" s="130"/>
      <x:c r="M52" s="130"/>
      <x:c r="N52" s="130"/>
      <x:c r="O52" s="130"/>
      <x:c r="P52" s="130"/>
      <x:c r="Q52" s="130"/>
      <x:c r="R52" s="130"/>
      <x:c r="S52" s="130"/>
      <x:c r="T52" s="130"/>
      <x:c r="U52" s="130"/>
      <x:c r="V52" s="130"/>
      <x:c r="W52" s="130"/>
      <x:c r="X52" s="130"/>
      <x:c r="Y52" s="130"/>
      <x:c r="Z52" s="130"/>
      <x:c r="AA52" s="130"/>
      <x:c r="AB52" s="130"/>
      <x:c r="AC52" s="130"/>
      <x:c r="AD52" s="130"/>
      <x:c r="AE52" s="130"/>
      <x:c r="AF52" s="130"/>
      <x:c r="AG52" s="130"/>
      <x:c r="AH52" s="130"/>
      <x:c r="AI52" s="130"/>
      <x:c r="AJ52" s="130"/>
      <x:c r="AK52" s="130"/>
      <x:c r="AL52" s="130"/>
      <x:c r="AM52" s="130"/>
      <x:c r="AN52" s="130"/>
      <x:c r="AO52" s="130"/>
      <x:c r="AP52" s="130"/>
      <x:c r="AQ52" s="130"/>
      <x:c r="AR52" s="130"/>
      <x:c r="AS52" s="130"/>
      <x:c r="AT52" s="130"/>
      <x:c r="AU52" s="130"/>
      <x:c r="AV52" s="130"/>
      <x:c r="AW52" s="130"/>
      <x:c r="AX52" s="130"/>
      <x:c r="AY52" s="130"/>
      <x:c r="AZ52" s="130"/>
    </x:row>
    <x:row r="53">
      <x:c r="A53" s="130"/>
      <x:c r="B53" s="130"/>
      <x:c r="C53" s="130"/>
      <x:c r="D53" s="130"/>
      <x:c r="E53" s="130"/>
      <x:c r="F53" s="130"/>
      <x:c r="G53" s="130"/>
      <x:c r="H53" s="130"/>
      <x:c r="I53" s="130"/>
      <x:c r="J53" s="130"/>
      <x:c r="K53" s="130"/>
      <x:c r="L53" s="130"/>
      <x:c r="M53" s="130"/>
      <x:c r="N53" s="130"/>
      <x:c r="O53" s="130"/>
      <x:c r="P53" s="130"/>
      <x:c r="Q53" s="130"/>
      <x:c r="R53" s="130"/>
      <x:c r="S53" s="130"/>
      <x:c r="T53" s="130"/>
      <x:c r="U53" s="130"/>
      <x:c r="V53" s="130"/>
      <x:c r="W53" s="130"/>
      <x:c r="X53" s="130"/>
      <x:c r="Y53" s="130"/>
      <x:c r="Z53" s="130"/>
      <x:c r="AA53" s="130"/>
      <x:c r="AB53" s="130"/>
      <x:c r="AC53" s="130"/>
      <x:c r="AD53" s="130"/>
      <x:c r="AE53" s="130"/>
      <x:c r="AF53" s="130"/>
      <x:c r="AG53" s="130"/>
      <x:c r="AH53" s="130"/>
      <x:c r="AI53" s="130"/>
      <x:c r="AJ53" s="130"/>
      <x:c r="AK53" s="130"/>
      <x:c r="AL53" s="130"/>
      <x:c r="AM53" s="130"/>
      <x:c r="AN53" s="130"/>
      <x:c r="AO53" s="130"/>
      <x:c r="AP53" s="130"/>
      <x:c r="AQ53" s="130"/>
      <x:c r="AR53" s="130"/>
      <x:c r="AS53" s="130"/>
      <x:c r="AT53" s="130"/>
      <x:c r="AU53" s="130"/>
      <x:c r="AV53" s="130"/>
      <x:c r="AW53" s="130"/>
      <x:c r="AX53" s="130"/>
      <x:c r="AY53" s="130"/>
      <x:c r="AZ53" s="130"/>
    </x:row>
    <x:row r="54">
      <x:c r="A54" s="130"/>
      <x:c r="B54" s="130"/>
      <x:c r="C54" s="130"/>
      <x:c r="D54" s="130"/>
      <x:c r="E54" s="130"/>
      <x:c r="F54" s="130"/>
      <x:c r="G54" s="130"/>
      <x:c r="H54" s="130"/>
      <x:c r="I54" s="130"/>
      <x:c r="J54" s="130"/>
      <x:c r="K54" s="130"/>
      <x:c r="L54" s="130"/>
      <x:c r="M54" s="130"/>
      <x:c r="N54" s="130"/>
      <x:c r="O54" s="130"/>
      <x:c r="P54" s="130"/>
      <x:c r="Q54" s="130"/>
      <x:c r="R54" s="130"/>
      <x:c r="S54" s="130"/>
      <x:c r="T54" s="130"/>
      <x:c r="U54" s="130"/>
      <x:c r="V54" s="130"/>
      <x:c r="W54" s="130"/>
      <x:c r="X54" s="130"/>
      <x:c r="Y54" s="130"/>
      <x:c r="Z54" s="130"/>
      <x:c r="AA54" s="130"/>
      <x:c r="AB54" s="130"/>
      <x:c r="AC54" s="130"/>
      <x:c r="AD54" s="130"/>
      <x:c r="AE54" s="130"/>
      <x:c r="AF54" s="130"/>
      <x:c r="AG54" s="130"/>
      <x:c r="AH54" s="130"/>
      <x:c r="AI54" s="130"/>
      <x:c r="AJ54" s="130"/>
      <x:c r="AK54" s="130"/>
      <x:c r="AL54" s="130"/>
      <x:c r="AM54" s="130"/>
      <x:c r="AN54" s="130"/>
      <x:c r="AO54" s="130"/>
      <x:c r="AP54" s="130"/>
      <x:c r="AQ54" s="130"/>
      <x:c r="AR54" s="130"/>
      <x:c r="AS54" s="130"/>
      <x:c r="AT54" s="130"/>
      <x:c r="AU54" s="130"/>
      <x:c r="AV54" s="130"/>
      <x:c r="AW54" s="130"/>
      <x:c r="AX54" s="130"/>
      <x:c r="AY54" s="130"/>
      <x:c r="AZ54" s="130"/>
    </x:row>
    <x:row r="55">
      <x:c r="A55" s="130"/>
      <x:c r="B55" s="130"/>
      <x:c r="C55" s="130"/>
      <x:c r="D55" s="130"/>
      <x:c r="E55" s="130"/>
      <x:c r="F55" s="130"/>
      <x:c r="G55" s="130"/>
      <x:c r="H55" s="130"/>
      <x:c r="I55" s="130"/>
      <x:c r="J55" s="130"/>
      <x:c r="K55" s="130"/>
      <x:c r="L55" s="130"/>
      <x:c r="M55" s="130"/>
      <x:c r="N55" s="130"/>
      <x:c r="O55" s="130"/>
      <x:c r="P55" s="130"/>
      <x:c r="Q55" s="130"/>
      <x:c r="R55" s="130"/>
      <x:c r="S55" s="130"/>
      <x:c r="T55" s="130"/>
      <x:c r="U55" s="130"/>
      <x:c r="V55" s="130"/>
      <x:c r="W55" s="130"/>
      <x:c r="X55" s="130"/>
      <x:c r="Y55" s="130"/>
      <x:c r="Z55" s="130"/>
      <x:c r="AA55" s="130"/>
      <x:c r="AB55" s="130"/>
      <x:c r="AC55" s="130"/>
      <x:c r="AD55" s="130"/>
      <x:c r="AE55" s="130"/>
      <x:c r="AF55" s="130"/>
      <x:c r="AG55" s="130"/>
      <x:c r="AH55" s="130"/>
      <x:c r="AI55" s="130"/>
      <x:c r="AJ55" s="130"/>
      <x:c r="AK55" s="130"/>
      <x:c r="AL55" s="130"/>
      <x:c r="AM55" s="130"/>
      <x:c r="AN55" s="130"/>
      <x:c r="AO55" s="130"/>
      <x:c r="AP55" s="130"/>
      <x:c r="AQ55" s="130"/>
      <x:c r="AR55" s="130"/>
      <x:c r="AS55" s="130"/>
      <x:c r="AT55" s="130"/>
      <x:c r="AU55" s="130"/>
      <x:c r="AV55" s="130"/>
      <x:c r="AW55" s="130"/>
      <x:c r="AX55" s="130"/>
      <x:c r="AY55" s="130"/>
      <x:c r="AZ55" s="130"/>
    </x:row>
    <x:row r="56">
      <x:c r="A56" s="130"/>
      <x:c r="B56" s="130"/>
      <x:c r="C56" s="130"/>
      <x:c r="D56" s="130"/>
      <x:c r="E56" s="130"/>
      <x:c r="F56" s="130"/>
      <x:c r="G56" s="130"/>
      <x:c r="H56" s="130"/>
      <x:c r="I56" s="130"/>
      <x:c r="J56" s="130"/>
      <x:c r="K56" s="130"/>
      <x:c r="L56" s="130"/>
      <x:c r="M56" s="130"/>
      <x:c r="N56" s="130"/>
      <x:c r="O56" s="130"/>
      <x:c r="P56" s="130"/>
      <x:c r="Q56" s="130"/>
      <x:c r="R56" s="130"/>
      <x:c r="S56" s="130"/>
      <x:c r="T56" s="130"/>
      <x:c r="U56" s="130"/>
      <x:c r="V56" s="130"/>
      <x:c r="W56" s="130"/>
      <x:c r="X56" s="130"/>
      <x:c r="Y56" s="130"/>
      <x:c r="Z56" s="130"/>
      <x:c r="AA56" s="130"/>
      <x:c r="AB56" s="130"/>
      <x:c r="AC56" s="130"/>
      <x:c r="AD56" s="130"/>
      <x:c r="AE56" s="130"/>
      <x:c r="AF56" s="130"/>
      <x:c r="AG56" s="130"/>
      <x:c r="AH56" s="130"/>
      <x:c r="AI56" s="130"/>
      <x:c r="AJ56" s="130"/>
      <x:c r="AK56" s="130"/>
      <x:c r="AL56" s="130"/>
      <x:c r="AM56" s="130"/>
      <x:c r="AN56" s="130"/>
      <x:c r="AO56" s="130"/>
      <x:c r="AP56" s="130"/>
      <x:c r="AQ56" s="130"/>
      <x:c r="AR56" s="130"/>
      <x:c r="AS56" s="130"/>
      <x:c r="AT56" s="130"/>
      <x:c r="AU56" s="130"/>
      <x:c r="AV56" s="130"/>
      <x:c r="AW56" s="130"/>
      <x:c r="AX56" s="130"/>
      <x:c r="AY56" s="130"/>
      <x:c r="AZ56" s="130"/>
    </x:row>
    <x:row r="57">
      <x:c r="A57" s="130"/>
      <x:c r="B57" s="130"/>
      <x:c r="C57" s="130"/>
      <x:c r="D57" s="130"/>
      <x:c r="E57" s="130"/>
      <x:c r="F57" s="130"/>
      <x:c r="G57" s="130"/>
      <x:c r="H57" s="130"/>
      <x:c r="I57" s="130"/>
      <x:c r="J57" s="130"/>
      <x:c r="K57" s="130"/>
      <x:c r="L57" s="130"/>
      <x:c r="M57" s="130"/>
      <x:c r="N57" s="130"/>
      <x:c r="O57" s="130"/>
      <x:c r="P57" s="130"/>
      <x:c r="Q57" s="130"/>
      <x:c r="R57" s="130"/>
      <x:c r="S57" s="130"/>
      <x:c r="T57" s="130"/>
      <x:c r="U57" s="130"/>
      <x:c r="V57" s="130"/>
      <x:c r="W57" s="130"/>
      <x:c r="X57" s="130"/>
      <x:c r="Y57" s="130"/>
      <x:c r="Z57" s="130"/>
      <x:c r="AA57" s="130"/>
      <x:c r="AB57" s="130"/>
      <x:c r="AC57" s="130"/>
      <x:c r="AD57" s="130"/>
      <x:c r="AE57" s="130"/>
      <x:c r="AF57" s="130"/>
      <x:c r="AG57" s="130"/>
      <x:c r="AH57" s="130"/>
      <x:c r="AI57" s="130"/>
      <x:c r="AJ57" s="130"/>
      <x:c r="AK57" s="130"/>
      <x:c r="AL57" s="130"/>
      <x:c r="AM57" s="130"/>
      <x:c r="AN57" s="130"/>
      <x:c r="AO57" s="130"/>
      <x:c r="AP57" s="130"/>
      <x:c r="AQ57" s="130"/>
      <x:c r="AR57" s="130"/>
      <x:c r="AS57" s="130"/>
      <x:c r="AT57" s="130"/>
      <x:c r="AU57" s="130"/>
      <x:c r="AV57" s="130"/>
      <x:c r="AW57" s="130"/>
      <x:c r="AX57" s="130"/>
      <x:c r="AY57" s="130"/>
      <x:c r="AZ57" s="130"/>
    </x:row>
    <x:row r="58">
      <x:c r="A58" s="130"/>
      <x:c r="B58" s="130"/>
      <x:c r="C58" s="130"/>
      <x:c r="D58" s="130"/>
      <x:c r="E58" s="130"/>
      <x:c r="F58" s="130"/>
      <x:c r="G58" s="130"/>
      <x:c r="H58" s="130"/>
      <x:c r="I58" s="130"/>
      <x:c r="J58" s="130"/>
      <x:c r="K58" s="130"/>
      <x:c r="L58" s="130"/>
      <x:c r="M58" s="130"/>
      <x:c r="N58" s="130"/>
      <x:c r="O58" s="130"/>
      <x:c r="P58" s="130"/>
      <x:c r="Q58" s="130"/>
      <x:c r="R58" s="130"/>
      <x:c r="S58" s="130"/>
      <x:c r="T58" s="130"/>
      <x:c r="U58" s="130"/>
      <x:c r="V58" s="130"/>
      <x:c r="W58" s="130"/>
      <x:c r="X58" s="130"/>
      <x:c r="Y58" s="130"/>
      <x:c r="Z58" s="130"/>
      <x:c r="AA58" s="130"/>
      <x:c r="AB58" s="130"/>
      <x:c r="AC58" s="130"/>
      <x:c r="AD58" s="130"/>
      <x:c r="AE58" s="130"/>
      <x:c r="AF58" s="130"/>
      <x:c r="AG58" s="130"/>
      <x:c r="AH58" s="130"/>
      <x:c r="AI58" s="130"/>
      <x:c r="AJ58" s="130"/>
      <x:c r="AK58" s="130"/>
      <x:c r="AL58" s="130"/>
      <x:c r="AM58" s="130"/>
      <x:c r="AN58" s="130"/>
      <x:c r="AO58" s="130"/>
      <x:c r="AP58" s="130"/>
      <x:c r="AQ58" s="130"/>
      <x:c r="AR58" s="130"/>
      <x:c r="AS58" s="130"/>
      <x:c r="AT58" s="130"/>
      <x:c r="AU58" s="130"/>
      <x:c r="AV58" s="130"/>
      <x:c r="AW58" s="130"/>
      <x:c r="AX58" s="130"/>
      <x:c r="AY58" s="130"/>
      <x:c r="AZ58" s="130"/>
    </x:row>
    <x:row r="59">
      <x:c r="A59" s="130"/>
      <x:c r="B59" s="130"/>
      <x:c r="C59" s="130"/>
      <x:c r="D59" s="130"/>
      <x:c r="E59" s="130"/>
      <x:c r="F59" s="130"/>
      <x:c r="G59" s="130"/>
      <x:c r="H59" s="130"/>
      <x:c r="I59" s="130"/>
      <x:c r="J59" s="130"/>
      <x:c r="K59" s="130"/>
      <x:c r="L59" s="130"/>
      <x:c r="M59" s="130"/>
      <x:c r="N59" s="130"/>
      <x:c r="O59" s="130"/>
      <x:c r="P59" s="130"/>
      <x:c r="Q59" s="130"/>
      <x:c r="R59" s="130"/>
      <x:c r="S59" s="130"/>
      <x:c r="T59" s="130"/>
      <x:c r="U59" s="130"/>
      <x:c r="V59" s="130"/>
      <x:c r="W59" s="130"/>
      <x:c r="X59" s="130"/>
      <x:c r="Y59" s="130"/>
      <x:c r="Z59" s="130"/>
      <x:c r="AA59" s="130"/>
      <x:c r="AB59" s="130"/>
      <x:c r="AC59" s="130"/>
      <x:c r="AD59" s="130"/>
      <x:c r="AE59" s="130"/>
      <x:c r="AF59" s="130"/>
      <x:c r="AG59" s="130"/>
      <x:c r="AH59" s="130"/>
      <x:c r="AI59" s="130"/>
      <x:c r="AJ59" s="130"/>
      <x:c r="AK59" s="130"/>
      <x:c r="AL59" s="130"/>
      <x:c r="AM59" s="130"/>
      <x:c r="AN59" s="130"/>
      <x:c r="AO59" s="130"/>
      <x:c r="AP59" s="130"/>
      <x:c r="AQ59" s="130"/>
      <x:c r="AR59" s="130"/>
      <x:c r="AS59" s="130"/>
      <x:c r="AT59" s="130"/>
      <x:c r="AU59" s="130"/>
      <x:c r="AV59" s="130"/>
      <x:c r="AW59" s="130"/>
      <x:c r="AX59" s="130"/>
      <x:c r="AY59" s="130"/>
      <x:c r="AZ59" s="130"/>
    </x:row>
    <x:row r="60">
      <x:c r="A60" s="130"/>
      <x:c r="B60" s="130"/>
      <x:c r="C60" s="130"/>
      <x:c r="D60" s="130"/>
      <x:c r="E60" s="130"/>
      <x:c r="F60" s="130"/>
      <x:c r="G60" s="130"/>
      <x:c r="H60" s="130"/>
      <x:c r="I60" s="130"/>
      <x:c r="J60" s="130"/>
      <x:c r="K60" s="130"/>
      <x:c r="L60" s="130"/>
      <x:c r="M60" s="130"/>
      <x:c r="N60" s="130"/>
      <x:c r="O60" s="130"/>
      <x:c r="P60" s="130"/>
      <x:c r="Q60" s="130"/>
      <x:c r="R60" s="130"/>
      <x:c r="S60" s="130"/>
      <x:c r="T60" s="130"/>
      <x:c r="U60" s="130"/>
      <x:c r="V60" s="130"/>
      <x:c r="W60" s="130"/>
      <x:c r="X60" s="130"/>
      <x:c r="Y60" s="130"/>
      <x:c r="Z60" s="130"/>
      <x:c r="AA60" s="130"/>
      <x:c r="AB60" s="130"/>
      <x:c r="AC60" s="130"/>
      <x:c r="AD60" s="130"/>
      <x:c r="AE60" s="130"/>
      <x:c r="AF60" s="130"/>
      <x:c r="AG60" s="130"/>
      <x:c r="AH60" s="130"/>
      <x:c r="AI60" s="130"/>
      <x:c r="AJ60" s="130"/>
      <x:c r="AK60" s="130"/>
      <x:c r="AL60" s="130"/>
      <x:c r="AM60" s="130"/>
      <x:c r="AN60" s="130"/>
      <x:c r="AO60" s="130"/>
      <x:c r="AP60" s="130"/>
      <x:c r="AQ60" s="130"/>
      <x:c r="AR60" s="130"/>
      <x:c r="AS60" s="130"/>
      <x:c r="AT60" s="130"/>
      <x:c r="AU60" s="130"/>
      <x:c r="AV60" s="130"/>
      <x:c r="AW60" s="130"/>
      <x:c r="AX60" s="130"/>
      <x:c r="AY60" s="130"/>
      <x:c r="AZ60" s="130"/>
    </x:row>
  </x:sheetData>
  <x:mergeCells>
    <x:mergeCell ref="A1:N2"/>
  </x:mergeCells>
  <x:pageMargins left="0.7" right="0.7" top="0.75" bottom="0.75" header="0.3" footer="0.3"/>
  <x:tableParts count="1">
    <x:tablePart xmlns:r="http://schemas.openxmlformats.org/officeDocument/2006/relationships" r:id="R42cb91bbd2b4480f"/>
  </x:tableParts>
</x:worksheet>
</file>

<file path=xl/worksheets/sheet3.xml><?xml version="1.0" encoding="utf-8"?>
<x:worksheet xmlns:x="http://schemas.openxmlformats.org/spreadsheetml/2006/main">
  <x:sheetFormatPr defaultRowHeight="15"/>
  <x:cols>
    <x:col min="1" max="1" width="10" hidden="0" customWidth="1"/>
    <x:col min="2" max="2" width="38" hidden="0" customWidth="1"/>
    <x:col min="3" max="3" width="20"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34" hidden="0" customWidth="1"/>
    <x:col min="20" max="20" width="34" hidden="0" customWidth="1"/>
    <x:col min="21" max="21" width="34" hidden="0" customWidth="1"/>
    <x:col min="22" max="22" width="34" hidden="0" customWidth="1"/>
  </x:cols>
  <x:sheetData>
    <x:row r="1">
      <x:c r="A1" s="5" t="str">
        <x:v>Strategy assumptions: plant and temporary-power options</x:v>
      </x:c>
      <x:c r="B1" s="5"/>
      <x:c r="C1" s="5"/>
      <x:c r="D1" s="5"/>
      <x:c r="E1" s="5"/>
      <x:c r="F1" s="5"/>
      <x:c r="G1" s="5"/>
      <x:c r="H1" s="5"/>
      <x:c r="I1" s="5"/>
      <x:c r="J1" s="5"/>
      <x:c r="K1" s="5"/>
      <x:c r="L1" s="5"/>
      <x:c r="M1" s="5"/>
      <x:c r="N1" s="5"/>
      <x:c r="O1" s="5"/>
      <x:c r="P1" s="5"/>
      <x:c r="Q1" s="5"/>
      <x:c r="R1" s="5"/>
      <x:c r="S1" s="5"/>
      <x:c r="T1" s="5"/>
      <x:c r="U1" s="5"/>
      <x:c r="V1" s="5"/>
      <x:c r="W1" s="130"/>
      <x:c r="X1" s="130"/>
      <x:c r="Y1" s="130"/>
      <x:c r="Z1" s="130"/>
      <x:c r="AA1" s="130"/>
      <x:c r="AB1" s="130"/>
      <x:c r="AC1" s="130"/>
      <x:c r="AD1" s="130"/>
      <x:c r="AE1" s="130"/>
      <x:c r="AF1" s="130"/>
      <x:c r="AG1" s="130"/>
      <x:c r="AH1" s="130"/>
      <x:c r="AI1" s="130"/>
      <x:c r="AJ1" s="130"/>
      <x:c r="AK1" s="130"/>
      <x:c r="AL1" s="130"/>
      <x:c r="AM1" s="130"/>
      <x:c r="AN1" s="130"/>
      <x:c r="AO1" s="130"/>
      <x:c r="AP1" s="130"/>
      <x:c r="AQ1" s="130"/>
      <x:c r="AR1" s="130"/>
      <x:c r="AS1" s="130"/>
      <x:c r="AT1" s="130"/>
      <x:c r="AU1" s="130"/>
      <x:c r="AV1" s="130"/>
      <x:c r="AW1" s="130"/>
      <x:c r="AX1" s="130"/>
      <x:c r="AY1" s="130"/>
      <x:c r="AZ1" s="130"/>
    </x:row>
    <x:row r="2">
      <x:c r="A2" s="5"/>
      <x:c r="B2" s="5"/>
      <x:c r="C2" s="5"/>
      <x:c r="D2" s="5"/>
      <x:c r="E2" s="5"/>
      <x:c r="F2" s="5"/>
      <x:c r="G2" s="5"/>
      <x:c r="H2" s="5"/>
      <x:c r="I2" s="5"/>
      <x:c r="J2" s="5"/>
      <x:c r="K2" s="5"/>
      <x:c r="L2" s="5"/>
      <x:c r="M2" s="5"/>
      <x:c r="N2" s="5"/>
      <x:c r="O2" s="5"/>
      <x:c r="P2" s="5"/>
      <x:c r="Q2" s="5"/>
      <x:c r="R2" s="5"/>
      <x:c r="S2" s="5"/>
      <x:c r="T2" s="5"/>
      <x:c r="U2" s="5"/>
      <x:c r="V2" s="5"/>
      <x:c r="W2" s="130"/>
      <x:c r="X2" s="130"/>
      <x:c r="Y2" s="130"/>
      <x:c r="Z2" s="130"/>
      <x:c r="AA2" s="130"/>
      <x:c r="AB2" s="130"/>
      <x:c r="AC2" s="130"/>
      <x:c r="AD2" s="130"/>
      <x:c r="AE2" s="130"/>
      <x:c r="AF2" s="130"/>
      <x:c r="AG2" s="130"/>
      <x:c r="AH2" s="130"/>
      <x:c r="AI2" s="130"/>
      <x:c r="AJ2" s="130"/>
      <x:c r="AK2" s="130"/>
      <x:c r="AL2" s="130"/>
      <x:c r="AM2" s="130"/>
      <x:c r="AN2" s="130"/>
      <x:c r="AO2" s="130"/>
      <x:c r="AP2" s="130"/>
      <x:c r="AQ2" s="130"/>
      <x:c r="AR2" s="130"/>
      <x:c r="AS2" s="130"/>
      <x:c r="AT2" s="130"/>
      <x:c r="AU2" s="130"/>
      <x:c r="AV2" s="130"/>
      <x:c r="AW2" s="130"/>
      <x:c r="AX2" s="130"/>
      <x:c r="AY2" s="130"/>
      <x:c r="AZ2" s="130"/>
    </x:row>
    <x:row r="3">
      <x:c r="A3" s="130"/>
      <x:c r="B3" s="130"/>
      <x:c r="C3" s="130"/>
      <x:c r="D3" s="130"/>
      <x:c r="E3" s="130"/>
      <x:c r="F3" s="130"/>
      <x:c r="G3" s="130"/>
      <x:c r="H3" s="130"/>
      <x:c r="I3" s="130"/>
      <x:c r="J3" s="130"/>
      <x:c r="K3" s="130"/>
      <x:c r="L3" s="130"/>
      <x:c r="M3" s="130"/>
      <x:c r="N3" s="130"/>
      <x:c r="O3" s="130"/>
      <x:c r="P3" s="130"/>
      <x:c r="Q3" s="130"/>
      <x:c r="R3" s="130"/>
      <x:c r="S3" s="130"/>
      <x:c r="T3" s="130"/>
      <x:c r="U3" s="130"/>
      <x:c r="V3" s="130"/>
      <x:c r="W3" s="130"/>
      <x:c r="X3" s="130"/>
      <x:c r="Y3" s="130"/>
      <x:c r="Z3" s="130"/>
      <x:c r="AA3" s="130"/>
      <x:c r="AB3" s="130"/>
      <x:c r="AC3" s="130"/>
      <x:c r="AD3" s="130"/>
      <x:c r="AE3" s="130"/>
      <x:c r="AF3" s="130"/>
      <x:c r="AG3" s="130"/>
      <x:c r="AH3" s="130"/>
      <x:c r="AI3" s="130"/>
      <x:c r="AJ3" s="130"/>
      <x:c r="AK3" s="130"/>
      <x:c r="AL3" s="130"/>
      <x:c r="AM3" s="130"/>
      <x:c r="AN3" s="130"/>
      <x:c r="AO3" s="130"/>
      <x:c r="AP3" s="130"/>
      <x:c r="AQ3" s="130"/>
      <x:c r="AR3" s="130"/>
      <x:c r="AS3" s="130"/>
      <x:c r="AT3" s="130"/>
      <x:c r="AU3" s="130"/>
      <x:c r="AV3" s="130"/>
      <x:c r="AW3" s="130"/>
      <x:c r="AX3" s="130"/>
      <x:c r="AY3" s="130"/>
      <x:c r="AZ3" s="130"/>
    </x:row>
    <x:row r="4">
      <x:c r="A4" s="32" t="str">
        <x:v>Strategy_ID</x:v>
      </x:c>
      <x:c r="B4" s="32" t="str">
        <x:v>Strategy</x:v>
      </x:c>
      <x:c r="C4" s="32" t="str">
        <x:v>Plant_Powertrain</x:v>
      </x:c>
      <x:c r="D4" s="32" t="str">
        <x:v>Plant_Diesel_L_per_active_h</x:v>
      </x:c>
      <x:c r="E4" s="32" t="str">
        <x:v>Plant_Electricity_kWh_per_active_h</x:v>
      </x:c>
      <x:c r="F4" s="32" t="str">
        <x:v>Idle_Energy_Fraction</x:v>
      </x:c>
      <x:c r="G4" s="32" t="str">
        <x:v>Temporary_Power_Type</x:v>
      </x:c>
      <x:c r="H4" s="32" t="str">
        <x:v>Generator_Diesel_L_per_kWh</x:v>
      </x:c>
      <x:c r="I4" s="32" t="str">
        <x:v>Charging_Loss_Percent</x:v>
      </x:c>
      <x:c r="J4" s="32" t="str">
        <x:v>Smart_Grid_CI_Multiplier</x:v>
      </x:c>
      <x:c r="K4" s="32" t="str">
        <x:v>Battery_Storage_Loss_Percent</x:v>
      </x:c>
      <x:c r="L4" s="32" t="str">
        <x:v>Plant_Hire_GBP_per_day</x:v>
      </x:c>
      <x:c r="M4" s="32" t="str">
        <x:v>Power_System_GBP_per_day</x:v>
      </x:c>
      <x:c r="N4" s="32" t="str">
        <x:v>Productivity_Index</x:v>
      </x:c>
      <x:c r="O4" s="32" t="str">
        <x:v>Expected_Downtime_h_per_day</x:v>
      </x:c>
      <x:c r="P4" s="32" t="str">
        <x:v>Exhaust_NOx_Index</x:v>
      </x:c>
      <x:c r="Q4" s="32" t="str">
        <x:v>Exhaust_PM_Index</x:v>
      </x:c>
      <x:c r="R4" s="32" t="str">
        <x:v>Noise_Index</x:v>
      </x:c>
      <x:c r="S4" s="32" t="str">
        <x:v>Data_Quality</x:v>
      </x:c>
      <x:c r="T4" s="32" t="str">
        <x:v>Calculation_Use</x:v>
      </x:c>
      <x:c r="U4" s="32" t="str">
        <x:v>Teaching_Note</x:v>
      </x:c>
      <x:c r="V4" s="32" t="str">
        <x:v>Key_Risk</x:v>
      </x:c>
      <x:c r="W4" s="130"/>
      <x:c r="X4" s="130"/>
      <x:c r="Y4" s="130"/>
      <x:c r="Z4" s="130"/>
      <x:c r="AA4" s="130"/>
      <x:c r="AB4" s="130"/>
      <x:c r="AC4" s="130"/>
      <x:c r="AD4" s="130"/>
      <x:c r="AE4" s="130"/>
      <x:c r="AF4" s="130"/>
      <x:c r="AG4" s="130"/>
      <x:c r="AH4" s="130"/>
      <x:c r="AI4" s="130"/>
      <x:c r="AJ4" s="130"/>
      <x:c r="AK4" s="130"/>
      <x:c r="AL4" s="130"/>
      <x:c r="AM4" s="130"/>
      <x:c r="AN4" s="130"/>
      <x:c r="AO4" s="130"/>
      <x:c r="AP4" s="130"/>
      <x:c r="AQ4" s="130"/>
      <x:c r="AR4" s="130"/>
      <x:c r="AS4" s="130"/>
      <x:c r="AT4" s="130"/>
      <x:c r="AU4" s="130"/>
      <x:c r="AV4" s="130"/>
      <x:c r="AW4" s="130"/>
      <x:c r="AX4" s="130"/>
      <x:c r="AY4" s="130"/>
      <x:c r="AZ4" s="130"/>
    </x:row>
    <x:row r="5">
      <x:c r="A5" s="131" t="str">
        <x:v>S1</x:v>
      </x:c>
      <x:c r="B5" s="131" t="str">
        <x:v>Conventional diesel plant + diesel generator</x:v>
      </x:c>
      <x:c r="C5" s="131" t="str">
        <x:v>Diesel</x:v>
      </x:c>
      <x:c r="D5" s="134" t="n">
        <x:v>3.2</x:v>
      </x:c>
      <x:c r="E5" s="134" t="n">
        <x:v>0</x:v>
      </x:c>
      <x:c r="F5" s="134" t="n">
        <x:v>0.35</x:v>
      </x:c>
      <x:c r="G5" s="134" t="str">
        <x:v>Diesel generator</x:v>
      </x:c>
      <x:c r="H5" s="134" t="n">
        <x:v>0.3</x:v>
      </x:c>
      <x:c r="I5" s="142" t="n">
        <x:v>0</x:v>
      </x:c>
      <x:c r="J5" s="142" t="n">
        <x:v>1</x:v>
      </x:c>
      <x:c r="K5" s="142" t="n">
        <x:v>0</x:v>
      </x:c>
      <x:c r="L5" s="150" t="n">
        <x:v>180</x:v>
      </x:c>
      <x:c r="M5" s="150" t="n">
        <x:v>60</x:v>
      </x:c>
      <x:c r="N5" s="134" t="n">
        <x:v>100</x:v>
      </x:c>
      <x:c r="O5" s="134" t="n">
        <x:v>0.1</x:v>
      </x:c>
      <x:c r="P5" s="134" t="n">
        <x:v>100</x:v>
      </x:c>
      <x:c r="Q5" s="134" t="n">
        <x:v>100</x:v>
      </x:c>
      <x:c r="R5" s="134" t="n">
        <x:v>100</x:v>
      </x:c>
      <x:c r="S5" s="145" t="str">
        <x:v>Teaching assumptions; official carbon factors applied</x:v>
      </x:c>
      <x:c r="T5" s="145" t="str">
        <x:v>Baseline</x:v>
      </x:c>
      <x:c r="U5" s="145" t="str">
        <x:v>Represents a traditional site-energy arrangement.</x:v>
      </x:c>
      <x:c r="V5" s="145" t="str">
        <x:v>High operational carbon and local exhaust emissions.</x:v>
      </x:c>
      <x:c r="W5" s="130"/>
      <x:c r="X5" s="130"/>
      <x:c r="Y5" s="130"/>
      <x:c r="Z5" s="130"/>
      <x:c r="AA5" s="130"/>
      <x:c r="AB5" s="130"/>
      <x:c r="AC5" s="130"/>
      <x:c r="AD5" s="130"/>
      <x:c r="AE5" s="130"/>
      <x:c r="AF5" s="130"/>
      <x:c r="AG5" s="130"/>
      <x:c r="AH5" s="130"/>
      <x:c r="AI5" s="130"/>
      <x:c r="AJ5" s="130"/>
      <x:c r="AK5" s="130"/>
      <x:c r="AL5" s="130"/>
      <x:c r="AM5" s="130"/>
      <x:c r="AN5" s="130"/>
      <x:c r="AO5" s="130"/>
      <x:c r="AP5" s="130"/>
      <x:c r="AQ5" s="130"/>
      <x:c r="AR5" s="130"/>
      <x:c r="AS5" s="130"/>
      <x:c r="AT5" s="130"/>
      <x:c r="AU5" s="130"/>
      <x:c r="AV5" s="130"/>
      <x:c r="AW5" s="130"/>
      <x:c r="AX5" s="130"/>
      <x:c r="AY5" s="130"/>
      <x:c r="AZ5" s="130"/>
    </x:row>
    <x:row r="6">
      <x:c r="A6" s="131" t="str">
        <x:v>S2</x:v>
      </x:c>
      <x:c r="B6" s="131" t="str">
        <x:v>Stage V diesel + anti-idling + right-sized generator</x:v>
      </x:c>
      <x:c r="C6" s="131" t="str">
        <x:v>Efficient diesel</x:v>
      </x:c>
      <x:c r="D6" s="134" t="n">
        <x:v>2.8</x:v>
      </x:c>
      <x:c r="E6" s="134" t="n">
        <x:v>0</x:v>
      </x:c>
      <x:c r="F6" s="134" t="n">
        <x:v>0.15</x:v>
      </x:c>
      <x:c r="G6" s="134" t="str">
        <x:v>Efficient diesel generator</x:v>
      </x:c>
      <x:c r="H6" s="134" t="n">
        <x:v>0.24</x:v>
      </x:c>
      <x:c r="I6" s="142" t="n">
        <x:v>0</x:v>
      </x:c>
      <x:c r="J6" s="142" t="n">
        <x:v>1</x:v>
      </x:c>
      <x:c r="K6" s="142" t="n">
        <x:v>0</x:v>
      </x:c>
      <x:c r="L6" s="150" t="n">
        <x:v>200</x:v>
      </x:c>
      <x:c r="M6" s="150" t="n">
        <x:v>55</x:v>
      </x:c>
      <x:c r="N6" s="134" t="n">
        <x:v>100</x:v>
      </x:c>
      <x:c r="O6" s="134" t="n">
        <x:v>0.1</x:v>
      </x:c>
      <x:c r="P6" s="134" t="n">
        <x:v>35</x:v>
      </x:c>
      <x:c r="Q6" s="134" t="n">
        <x:v>25</x:v>
      </x:c>
      <x:c r="R6" s="134" t="n">
        <x:v>95</x:v>
      </x:c>
      <x:c r="S6" s="145" t="str">
        <x:v>Teaching assumptions; official carbon factors applied</x:v>
      </x:c>
      <x:c r="T6" s="145" t="str">
        <x:v>Improvement scenario</x:v>
      </x:c>
      <x:c r="U6" s="145" t="str">
        <x:v>Tests efficiency before full electrification.</x:v>
      </x:c>
      <x:c r="V6" s="145" t="str">
        <x:v>Still dependent on diesel and site discipline.</x:v>
      </x:c>
      <x:c r="W6" s="130"/>
      <x:c r="X6" s="130"/>
      <x:c r="Y6" s="130"/>
      <x:c r="Z6" s="130"/>
      <x:c r="AA6" s="130"/>
      <x:c r="AB6" s="130"/>
      <x:c r="AC6" s="130"/>
      <x:c r="AD6" s="130"/>
      <x:c r="AE6" s="130"/>
      <x:c r="AF6" s="130"/>
      <x:c r="AG6" s="130"/>
      <x:c r="AH6" s="130"/>
      <x:c r="AI6" s="130"/>
      <x:c r="AJ6" s="130"/>
      <x:c r="AK6" s="130"/>
      <x:c r="AL6" s="130"/>
      <x:c r="AM6" s="130"/>
      <x:c r="AN6" s="130"/>
      <x:c r="AO6" s="130"/>
      <x:c r="AP6" s="130"/>
      <x:c r="AQ6" s="130"/>
      <x:c r="AR6" s="130"/>
      <x:c r="AS6" s="130"/>
      <x:c r="AT6" s="130"/>
      <x:c r="AU6" s="130"/>
      <x:c r="AV6" s="130"/>
      <x:c r="AW6" s="130"/>
      <x:c r="AX6" s="130"/>
      <x:c r="AY6" s="130"/>
      <x:c r="AZ6" s="130"/>
    </x:row>
    <x:row r="7">
      <x:c r="A7" s="131" t="str">
        <x:v>S3</x:v>
      </x:c>
      <x:c r="B7" s="131" t="str">
        <x:v>Grid-connected electric plant</x:v>
      </x:c>
      <x:c r="C7" s="131" t="str">
        <x:v>Battery electric</x:v>
      </x:c>
      <x:c r="D7" s="134" t="n">
        <x:v>0</x:v>
      </x:c>
      <x:c r="E7" s="134" t="n">
        <x:v>3.33</x:v>
      </x:c>
      <x:c r="F7" s="134" t="n">
        <x:v>0.05</x:v>
      </x:c>
      <x:c r="G7" s="134" t="str">
        <x:v>Grid electricity</x:v>
      </x:c>
      <x:c r="H7" s="134" t="n">
        <x:v>0</x:v>
      </x:c>
      <x:c r="I7" s="142" t="n">
        <x:v>0.1</x:v>
      </x:c>
      <x:c r="J7" s="142" t="n">
        <x:v>1</x:v>
      </x:c>
      <x:c r="K7" s="142" t="n">
        <x:v>0</x:v>
      </x:c>
      <x:c r="L7" s="150" t="n">
        <x:v>260</x:v>
      </x:c>
      <x:c r="M7" s="150" t="n">
        <x:v>30</x:v>
      </x:c>
      <x:c r="N7" s="134" t="n">
        <x:v>97</x:v>
      </x:c>
      <x:c r="O7" s="134" t="n">
        <x:v>0.5</x:v>
      </x:c>
      <x:c r="P7" s="134" t="n">
        <x:v>0</x:v>
      </x:c>
      <x:c r="Q7" s="134" t="n">
        <x:v>0</x:v>
      </x:c>
      <x:c r="R7" s="134" t="n">
        <x:v>55</x:v>
      </x:c>
      <x:c r="S7" s="145" t="str">
        <x:v>Manufacturer-informed electricity use; teaching cost assumptions</x:v>
      </x:c>
      <x:c r="T7" s="145" t="str">
        <x:v>Electrification scenario</x:v>
      </x:c>
      <x:c r="U7" s="145" t="str">
        <x:v>Uses a 20 kWh battery and an indicative six-hour runtime.</x:v>
      </x:c>
      <x:c r="V7" s="145" t="str">
        <x:v>Charging access and shift length may limit feasibility.</x:v>
      </x:c>
      <x:c r="W7" s="130"/>
      <x:c r="X7" s="130"/>
      <x:c r="Y7" s="130"/>
      <x:c r="Z7" s="130"/>
      <x:c r="AA7" s="130"/>
      <x:c r="AB7" s="130"/>
      <x:c r="AC7" s="130"/>
      <x:c r="AD7" s="130"/>
      <x:c r="AE7" s="130"/>
      <x:c r="AF7" s="130"/>
      <x:c r="AG7" s="130"/>
      <x:c r="AH7" s="130"/>
      <x:c r="AI7" s="130"/>
      <x:c r="AJ7" s="130"/>
      <x:c r="AK7" s="130"/>
      <x:c r="AL7" s="130"/>
      <x:c r="AM7" s="130"/>
      <x:c r="AN7" s="130"/>
      <x:c r="AO7" s="130"/>
      <x:c r="AP7" s="130"/>
      <x:c r="AQ7" s="130"/>
      <x:c r="AR7" s="130"/>
      <x:c r="AS7" s="130"/>
      <x:c r="AT7" s="130"/>
      <x:c r="AU7" s="130"/>
      <x:c r="AV7" s="130"/>
      <x:c r="AW7" s="130"/>
      <x:c r="AX7" s="130"/>
      <x:c r="AY7" s="130"/>
      <x:c r="AZ7" s="130"/>
    </x:row>
    <x:row r="8">
      <x:c r="A8" s="131" t="str">
        <x:v>S4</x:v>
      </x:c>
      <x:c r="B8" s="131" t="str">
        <x:v>Electric plant + battery storage + smart charging</x:v>
      </x:c>
      <x:c r="C8" s="131" t="str">
        <x:v>Battery electric + BESS</x:v>
      </x:c>
      <x:c r="D8" s="134" t="n">
        <x:v>0</x:v>
      </x:c>
      <x:c r="E8" s="134" t="n">
        <x:v>3.33</x:v>
      </x:c>
      <x:c r="F8" s="134" t="n">
        <x:v>0.05</x:v>
      </x:c>
      <x:c r="G8" s="134" t="str">
        <x:v>Grid electricity + BESS</x:v>
      </x:c>
      <x:c r="H8" s="134" t="n">
        <x:v>0</x:v>
      </x:c>
      <x:c r="I8" s="142" t="n">
        <x:v>0.1</x:v>
      </x:c>
      <x:c r="J8" s="142" t="n">
        <x:v>0.65</x:v>
      </x:c>
      <x:c r="K8" s="142" t="n">
        <x:v>0.12</x:v>
      </x:c>
      <x:c r="L8" s="150" t="n">
        <x:v>260</x:v>
      </x:c>
      <x:c r="M8" s="150" t="n">
        <x:v>80</x:v>
      </x:c>
      <x:c r="N8" s="134" t="n">
        <x:v>99</x:v>
      </x:c>
      <x:c r="O8" s="134" t="n">
        <x:v>0.2</x:v>
      </x:c>
      <x:c r="P8" s="134" t="n">
        <x:v>0</x:v>
      </x:c>
      <x:c r="Q8" s="134" t="n">
        <x:v>0</x:v>
      </x:c>
      <x:c r="R8" s="134" t="n">
        <x:v>50</x:v>
      </x:c>
      <x:c r="S8" s="145" t="str">
        <x:v>Manufacturer-informed electricity use; smart charging is a teaching assumption</x:v>
      </x:c>
      <x:c r="T8" s="145" t="str">
        <x:v>Smart electrification scenario</x:v>
      </x:c>
      <x:c r="U8" s="145" t="str">
        <x:v>Time-shifts charging and adds temporary battery storage.</x:v>
      </x:c>
      <x:c r="V8" s="145" t="str">
        <x:v>Battery cost, storage losses and logistics must be justified.</x:v>
      </x:c>
      <x:c r="W8" s="130"/>
      <x:c r="X8" s="130"/>
      <x:c r="Y8" s="130"/>
      <x:c r="Z8" s="130"/>
      <x:c r="AA8" s="130"/>
      <x:c r="AB8" s="130"/>
      <x:c r="AC8" s="130"/>
      <x:c r="AD8" s="130"/>
      <x:c r="AE8" s="130"/>
      <x:c r="AF8" s="130"/>
      <x:c r="AG8" s="130"/>
      <x:c r="AH8" s="130"/>
      <x:c r="AI8" s="130"/>
      <x:c r="AJ8" s="130"/>
      <x:c r="AK8" s="130"/>
      <x:c r="AL8" s="130"/>
      <x:c r="AM8" s="130"/>
      <x:c r="AN8" s="130"/>
      <x:c r="AO8" s="130"/>
      <x:c r="AP8" s="130"/>
      <x:c r="AQ8" s="130"/>
      <x:c r="AR8" s="130"/>
      <x:c r="AS8" s="130"/>
      <x:c r="AT8" s="130"/>
      <x:c r="AU8" s="130"/>
      <x:c r="AV8" s="130"/>
      <x:c r="AW8" s="130"/>
      <x:c r="AX8" s="130"/>
      <x:c r="AY8" s="130"/>
      <x:c r="AZ8" s="130"/>
    </x:row>
    <x:row r="9">
      <x:c r="A9" s="130"/>
      <x:c r="B9" s="130"/>
      <x:c r="C9" s="130"/>
      <x:c r="D9" s="130"/>
      <x:c r="E9" s="130"/>
      <x:c r="F9" s="130"/>
      <x:c r="G9" s="130"/>
      <x:c r="H9" s="130"/>
      <x:c r="I9" s="130"/>
      <x:c r="J9" s="130"/>
      <x:c r="K9" s="130"/>
      <x:c r="L9" s="130"/>
      <x:c r="M9" s="130"/>
      <x:c r="N9" s="130"/>
      <x:c r="O9" s="130"/>
      <x:c r="P9" s="130"/>
      <x:c r="Q9" s="130"/>
      <x:c r="R9" s="130"/>
      <x:c r="S9" s="130"/>
      <x:c r="T9" s="130"/>
      <x:c r="U9" s="130"/>
      <x:c r="V9" s="130"/>
      <x:c r="W9" s="130"/>
      <x:c r="X9" s="130"/>
      <x:c r="Y9" s="130"/>
      <x:c r="Z9" s="130"/>
      <x:c r="AA9" s="130"/>
      <x:c r="AB9" s="130"/>
      <x:c r="AC9" s="130"/>
      <x:c r="AD9" s="130"/>
      <x:c r="AE9" s="130"/>
      <x:c r="AF9" s="130"/>
      <x:c r="AG9" s="130"/>
      <x:c r="AH9" s="130"/>
      <x:c r="AI9" s="130"/>
      <x:c r="AJ9" s="130"/>
      <x:c r="AK9" s="130"/>
      <x:c r="AL9" s="130"/>
      <x:c r="AM9" s="130"/>
      <x:c r="AN9" s="130"/>
      <x:c r="AO9" s="130"/>
      <x:c r="AP9" s="130"/>
      <x:c r="AQ9" s="130"/>
      <x:c r="AR9" s="130"/>
      <x:c r="AS9" s="130"/>
      <x:c r="AT9" s="130"/>
      <x:c r="AU9" s="130"/>
      <x:c r="AV9" s="130"/>
      <x:c r="AW9" s="130"/>
      <x:c r="AX9" s="130"/>
      <x:c r="AY9" s="130"/>
      <x:c r="AZ9" s="130"/>
    </x:row>
    <x:row r="10">
      <x:c r="A10" s="130"/>
      <x:c r="B10" s="130"/>
      <x:c r="C10" s="130"/>
      <x:c r="D10" s="130"/>
      <x:c r="E10" s="130"/>
      <x:c r="F10" s="130"/>
      <x:c r="G10" s="130"/>
      <x:c r="H10" s="130"/>
      <x:c r="I10" s="130"/>
      <x:c r="J10" s="130"/>
      <x:c r="K10" s="130"/>
      <x:c r="L10" s="130"/>
      <x:c r="M10" s="130"/>
      <x:c r="N10" s="130"/>
      <x:c r="O10" s="130"/>
      <x:c r="P10" s="130"/>
      <x:c r="Q10" s="130"/>
      <x:c r="R10" s="130"/>
      <x:c r="S10" s="130"/>
      <x:c r="T10" s="130"/>
      <x:c r="U10" s="130"/>
      <x:c r="V10" s="130"/>
      <x:c r="W10" s="130"/>
      <x:c r="X10" s="130"/>
      <x:c r="Y10" s="130"/>
      <x:c r="Z10" s="130"/>
      <x:c r="AA10" s="130"/>
      <x:c r="AB10" s="130"/>
      <x:c r="AC10" s="130"/>
      <x:c r="AD10" s="130"/>
      <x:c r="AE10" s="130"/>
      <x:c r="AF10" s="130"/>
      <x:c r="AG10" s="130"/>
      <x:c r="AH10" s="130"/>
      <x:c r="AI10" s="130"/>
      <x:c r="AJ10" s="130"/>
      <x:c r="AK10" s="130"/>
      <x:c r="AL10" s="130"/>
      <x:c r="AM10" s="130"/>
      <x:c r="AN10" s="130"/>
      <x:c r="AO10" s="130"/>
      <x:c r="AP10" s="130"/>
      <x:c r="AQ10" s="130"/>
      <x:c r="AR10" s="130"/>
      <x:c r="AS10" s="130"/>
      <x:c r="AT10" s="130"/>
      <x:c r="AU10" s="130"/>
      <x:c r="AV10" s="130"/>
      <x:c r="AW10" s="130"/>
      <x:c r="AX10" s="130"/>
      <x:c r="AY10" s="130"/>
      <x:c r="AZ10" s="130"/>
    </x:row>
    <x:row r="11">
      <x:c r="A11" s="130"/>
      <x:c r="B11" s="130"/>
      <x:c r="C11" s="130"/>
      <x:c r="D11" s="130"/>
      <x:c r="E11" s="130"/>
      <x:c r="F11" s="130"/>
      <x:c r="G11" s="130"/>
      <x:c r="H11" s="130"/>
      <x:c r="I11" s="130"/>
      <x:c r="J11" s="130"/>
      <x:c r="K11" s="130"/>
      <x:c r="L11" s="130"/>
      <x:c r="M11" s="130"/>
      <x:c r="N11" s="130"/>
      <x:c r="O11" s="130"/>
      <x:c r="P11" s="130"/>
      <x:c r="Q11" s="130"/>
      <x:c r="R11" s="130"/>
      <x:c r="S11" s="130"/>
      <x:c r="T11" s="130"/>
      <x:c r="U11" s="130"/>
      <x:c r="V11" s="130"/>
      <x:c r="W11" s="130"/>
      <x:c r="X11" s="130"/>
      <x:c r="Y11" s="130"/>
      <x:c r="Z11" s="130"/>
      <x:c r="AA11" s="130"/>
      <x:c r="AB11" s="130"/>
      <x:c r="AC11" s="130"/>
      <x:c r="AD11" s="130"/>
      <x:c r="AE11" s="130"/>
      <x:c r="AF11" s="130"/>
      <x:c r="AG11" s="130"/>
      <x:c r="AH11" s="130"/>
      <x:c r="AI11" s="130"/>
      <x:c r="AJ11" s="130"/>
      <x:c r="AK11" s="130"/>
      <x:c r="AL11" s="130"/>
      <x:c r="AM11" s="130"/>
      <x:c r="AN11" s="130"/>
      <x:c r="AO11" s="130"/>
      <x:c r="AP11" s="130"/>
      <x:c r="AQ11" s="130"/>
      <x:c r="AR11" s="130"/>
      <x:c r="AS11" s="130"/>
      <x:c r="AT11" s="130"/>
      <x:c r="AU11" s="130"/>
      <x:c r="AV11" s="130"/>
      <x:c r="AW11" s="130"/>
      <x:c r="AX11" s="130"/>
      <x:c r="AY11" s="130"/>
      <x:c r="AZ11" s="130"/>
    </x:row>
    <x:row r="12">
      <x:c r="A12" s="130"/>
      <x:c r="B12" s="130"/>
      <x:c r="C12" s="130"/>
      <x:c r="D12" s="130"/>
      <x:c r="E12" s="130"/>
      <x:c r="F12" s="130"/>
      <x:c r="G12" s="130"/>
      <x:c r="H12" s="130"/>
      <x:c r="I12" s="130"/>
      <x:c r="J12" s="130"/>
      <x:c r="K12" s="130"/>
      <x:c r="L12" s="130"/>
      <x:c r="M12" s="130"/>
      <x:c r="N12" s="130"/>
      <x:c r="O12" s="130"/>
      <x:c r="P12" s="130"/>
      <x:c r="Q12" s="130"/>
      <x:c r="R12" s="130"/>
      <x:c r="S12" s="130"/>
      <x:c r="T12" s="130"/>
      <x:c r="U12" s="130"/>
      <x:c r="V12" s="130"/>
      <x:c r="W12" s="130"/>
      <x:c r="X12" s="130"/>
      <x:c r="Y12" s="130"/>
      <x:c r="Z12" s="130"/>
      <x:c r="AA12" s="130"/>
      <x:c r="AB12" s="130"/>
      <x:c r="AC12" s="130"/>
      <x:c r="AD12" s="130"/>
      <x:c r="AE12" s="130"/>
      <x:c r="AF12" s="130"/>
      <x:c r="AG12" s="130"/>
      <x:c r="AH12" s="130"/>
      <x:c r="AI12" s="130"/>
      <x:c r="AJ12" s="130"/>
      <x:c r="AK12" s="130"/>
      <x:c r="AL12" s="130"/>
      <x:c r="AM12" s="130"/>
      <x:c r="AN12" s="130"/>
      <x:c r="AO12" s="130"/>
      <x:c r="AP12" s="130"/>
      <x:c r="AQ12" s="130"/>
      <x:c r="AR12" s="130"/>
      <x:c r="AS12" s="130"/>
      <x:c r="AT12" s="130"/>
      <x:c r="AU12" s="130"/>
      <x:c r="AV12" s="130"/>
      <x:c r="AW12" s="130"/>
      <x:c r="AX12" s="130"/>
      <x:c r="AY12" s="130"/>
      <x:c r="AZ12" s="130"/>
    </x:row>
    <x:row r="13">
      <x:c r="A13" s="130"/>
      <x:c r="B13" s="130"/>
      <x:c r="C13" s="130"/>
      <x:c r="D13" s="130"/>
      <x:c r="E13" s="130"/>
      <x:c r="F13" s="130"/>
      <x:c r="G13" s="130"/>
      <x:c r="H13" s="130"/>
      <x:c r="I13" s="130"/>
      <x:c r="J13" s="130"/>
      <x:c r="K13" s="130"/>
      <x:c r="L13" s="130"/>
      <x:c r="M13" s="130"/>
      <x:c r="N13" s="130"/>
      <x:c r="O13" s="130"/>
      <x:c r="P13" s="130"/>
      <x:c r="Q13" s="130"/>
      <x:c r="R13" s="130"/>
      <x:c r="S13" s="130"/>
      <x:c r="T13" s="130"/>
      <x:c r="U13" s="130"/>
      <x:c r="V13" s="130"/>
      <x:c r="W13" s="130"/>
      <x:c r="X13" s="130"/>
      <x:c r="Y13" s="130"/>
      <x:c r="Z13" s="130"/>
      <x:c r="AA13" s="130"/>
      <x:c r="AB13" s="130"/>
      <x:c r="AC13" s="130"/>
      <x:c r="AD13" s="130"/>
      <x:c r="AE13" s="130"/>
      <x:c r="AF13" s="130"/>
      <x:c r="AG13" s="130"/>
      <x:c r="AH13" s="130"/>
      <x:c r="AI13" s="130"/>
      <x:c r="AJ13" s="130"/>
      <x:c r="AK13" s="130"/>
      <x:c r="AL13" s="130"/>
      <x:c r="AM13" s="130"/>
      <x:c r="AN13" s="130"/>
      <x:c r="AO13" s="130"/>
      <x:c r="AP13" s="130"/>
      <x:c r="AQ13" s="130"/>
      <x:c r="AR13" s="130"/>
      <x:c r="AS13" s="130"/>
      <x:c r="AT13" s="130"/>
      <x:c r="AU13" s="130"/>
      <x:c r="AV13" s="130"/>
      <x:c r="AW13" s="130"/>
      <x:c r="AX13" s="130"/>
      <x:c r="AY13" s="130"/>
      <x:c r="AZ13" s="130"/>
    </x:row>
    <x:row r="14">
      <x:c r="A14" s="130"/>
      <x:c r="B14" s="130"/>
      <x:c r="C14" s="130"/>
      <x:c r="D14" s="130"/>
      <x:c r="E14" s="130"/>
      <x:c r="F14" s="130"/>
      <x:c r="G14" s="130"/>
      <x:c r="H14" s="130"/>
      <x:c r="I14" s="130"/>
      <x:c r="J14" s="130"/>
      <x:c r="K14" s="130"/>
      <x:c r="L14" s="130"/>
      <x:c r="M14" s="130"/>
      <x:c r="N14" s="130"/>
      <x:c r="O14" s="130"/>
      <x:c r="P14" s="130"/>
      <x:c r="Q14" s="130"/>
      <x:c r="R14" s="130"/>
      <x:c r="S14" s="130"/>
      <x:c r="T14" s="130"/>
      <x:c r="U14" s="130"/>
      <x:c r="V14" s="130"/>
      <x:c r="W14" s="130"/>
      <x:c r="X14" s="130"/>
      <x:c r="Y14" s="130"/>
      <x:c r="Z14" s="130"/>
      <x:c r="AA14" s="130"/>
      <x:c r="AB14" s="130"/>
      <x:c r="AC14" s="130"/>
      <x:c r="AD14" s="130"/>
      <x:c r="AE14" s="130"/>
      <x:c r="AF14" s="130"/>
      <x:c r="AG14" s="130"/>
      <x:c r="AH14" s="130"/>
      <x:c r="AI14" s="130"/>
      <x:c r="AJ14" s="130"/>
      <x:c r="AK14" s="130"/>
      <x:c r="AL14" s="130"/>
      <x:c r="AM14" s="130"/>
      <x:c r="AN14" s="130"/>
      <x:c r="AO14" s="130"/>
      <x:c r="AP14" s="130"/>
      <x:c r="AQ14" s="130"/>
      <x:c r="AR14" s="130"/>
      <x:c r="AS14" s="130"/>
      <x:c r="AT14" s="130"/>
      <x:c r="AU14" s="130"/>
      <x:c r="AV14" s="130"/>
      <x:c r="AW14" s="130"/>
      <x:c r="AX14" s="130"/>
      <x:c r="AY14" s="130"/>
      <x:c r="AZ14" s="130"/>
    </x:row>
    <x:row r="15">
      <x:c r="A15" s="130"/>
      <x:c r="B15" s="130"/>
      <x:c r="C15" s="130"/>
      <x:c r="D15" s="130"/>
      <x:c r="E15" s="130"/>
      <x:c r="F15" s="130"/>
      <x:c r="G15" s="130"/>
      <x:c r="H15" s="130"/>
      <x:c r="I15" s="130"/>
      <x:c r="J15" s="130"/>
      <x:c r="K15" s="130"/>
      <x:c r="L15" s="130"/>
      <x:c r="M15" s="130"/>
      <x:c r="N15" s="130"/>
      <x:c r="O15" s="130"/>
      <x:c r="P15" s="130"/>
      <x:c r="Q15" s="130"/>
      <x:c r="R15" s="130"/>
      <x:c r="S15" s="130"/>
      <x:c r="T15" s="130"/>
      <x:c r="U15" s="130"/>
      <x:c r="V15" s="130"/>
      <x:c r="W15" s="130"/>
      <x:c r="X15" s="130"/>
      <x:c r="Y15" s="130"/>
      <x:c r="Z15" s="130"/>
      <x:c r="AA15" s="130"/>
      <x:c r="AB15" s="130"/>
      <x:c r="AC15" s="130"/>
      <x:c r="AD15" s="130"/>
      <x:c r="AE15" s="130"/>
      <x:c r="AF15" s="130"/>
      <x:c r="AG15" s="130"/>
      <x:c r="AH15" s="130"/>
      <x:c r="AI15" s="130"/>
      <x:c r="AJ15" s="130"/>
      <x:c r="AK15" s="130"/>
      <x:c r="AL15" s="130"/>
      <x:c r="AM15" s="130"/>
      <x:c r="AN15" s="130"/>
      <x:c r="AO15" s="130"/>
      <x:c r="AP15" s="130"/>
      <x:c r="AQ15" s="130"/>
      <x:c r="AR15" s="130"/>
      <x:c r="AS15" s="130"/>
      <x:c r="AT15" s="130"/>
      <x:c r="AU15" s="130"/>
      <x:c r="AV15" s="130"/>
      <x:c r="AW15" s="130"/>
      <x:c r="AX15" s="130"/>
      <x:c r="AY15" s="130"/>
      <x:c r="AZ15" s="130"/>
    </x:row>
    <x:row r="16">
      <x:c r="A16" s="130"/>
      <x:c r="B16" s="130"/>
      <x:c r="C16" s="130"/>
      <x:c r="D16" s="130"/>
      <x:c r="E16" s="130"/>
      <x:c r="F16" s="130"/>
      <x:c r="G16" s="130"/>
      <x:c r="H16" s="130"/>
      <x:c r="I16" s="130"/>
      <x:c r="J16" s="130"/>
      <x:c r="K16" s="130"/>
      <x:c r="L16" s="130"/>
      <x:c r="M16" s="130"/>
      <x:c r="N16" s="130"/>
      <x:c r="O16" s="130"/>
      <x:c r="P16" s="130"/>
      <x:c r="Q16" s="130"/>
      <x:c r="R16" s="130"/>
      <x:c r="S16" s="130"/>
      <x:c r="T16" s="130"/>
      <x:c r="U16" s="130"/>
      <x:c r="V16" s="130"/>
      <x:c r="W16" s="130"/>
      <x:c r="X16" s="130"/>
      <x:c r="Y16" s="130"/>
      <x:c r="Z16" s="130"/>
      <x:c r="AA16" s="130"/>
      <x:c r="AB16" s="130"/>
      <x:c r="AC16" s="130"/>
      <x:c r="AD16" s="130"/>
      <x:c r="AE16" s="130"/>
      <x:c r="AF16" s="130"/>
      <x:c r="AG16" s="130"/>
      <x:c r="AH16" s="130"/>
      <x:c r="AI16" s="130"/>
      <x:c r="AJ16" s="130"/>
      <x:c r="AK16" s="130"/>
      <x:c r="AL16" s="130"/>
      <x:c r="AM16" s="130"/>
      <x:c r="AN16" s="130"/>
      <x:c r="AO16" s="130"/>
      <x:c r="AP16" s="130"/>
      <x:c r="AQ16" s="130"/>
      <x:c r="AR16" s="130"/>
      <x:c r="AS16" s="130"/>
      <x:c r="AT16" s="130"/>
      <x:c r="AU16" s="130"/>
      <x:c r="AV16" s="130"/>
      <x:c r="AW16" s="130"/>
      <x:c r="AX16" s="130"/>
      <x:c r="AY16" s="130"/>
      <x:c r="AZ16" s="130"/>
    </x:row>
    <x:row r="17">
      <x:c r="A17" s="130"/>
      <x:c r="B17" s="130"/>
      <x:c r="C17" s="130"/>
      <x:c r="D17" s="130"/>
      <x:c r="E17" s="130"/>
      <x:c r="F17" s="130"/>
      <x:c r="G17" s="130"/>
      <x:c r="H17" s="130"/>
      <x:c r="I17" s="130"/>
      <x:c r="J17" s="130"/>
      <x:c r="K17" s="130"/>
      <x:c r="L17" s="130"/>
      <x:c r="M17" s="130"/>
      <x:c r="N17" s="130"/>
      <x:c r="O17" s="130"/>
      <x:c r="P17" s="130"/>
      <x:c r="Q17" s="130"/>
      <x:c r="R17" s="130"/>
      <x:c r="S17" s="130"/>
      <x:c r="T17" s="130"/>
      <x:c r="U17" s="130"/>
      <x:c r="V17" s="130"/>
      <x:c r="W17" s="130"/>
      <x:c r="X17" s="130"/>
      <x:c r="Y17" s="130"/>
      <x:c r="Z17" s="130"/>
      <x:c r="AA17" s="130"/>
      <x:c r="AB17" s="130"/>
      <x:c r="AC17" s="130"/>
      <x:c r="AD17" s="130"/>
      <x:c r="AE17" s="130"/>
      <x:c r="AF17" s="130"/>
      <x:c r="AG17" s="130"/>
      <x:c r="AH17" s="130"/>
      <x:c r="AI17" s="130"/>
      <x:c r="AJ17" s="130"/>
      <x:c r="AK17" s="130"/>
      <x:c r="AL17" s="130"/>
      <x:c r="AM17" s="130"/>
      <x:c r="AN17" s="130"/>
      <x:c r="AO17" s="130"/>
      <x:c r="AP17" s="130"/>
      <x:c r="AQ17" s="130"/>
      <x:c r="AR17" s="130"/>
      <x:c r="AS17" s="130"/>
      <x:c r="AT17" s="130"/>
      <x:c r="AU17" s="130"/>
      <x:c r="AV17" s="130"/>
      <x:c r="AW17" s="130"/>
      <x:c r="AX17" s="130"/>
      <x:c r="AY17" s="130"/>
      <x:c r="AZ17" s="130"/>
    </x:row>
    <x:row r="18">
      <x:c r="A18" s="130"/>
      <x:c r="B18" s="130"/>
      <x:c r="C18" s="130"/>
      <x:c r="D18" s="130"/>
      <x:c r="E18" s="130"/>
      <x:c r="F18" s="130"/>
      <x:c r="G18" s="130"/>
      <x:c r="H18" s="130"/>
      <x:c r="I18" s="130"/>
      <x:c r="J18" s="130"/>
      <x:c r="K18" s="130"/>
      <x:c r="L18" s="130"/>
      <x:c r="M18" s="130"/>
      <x:c r="N18" s="130"/>
      <x:c r="O18" s="130"/>
      <x:c r="P18" s="130"/>
      <x:c r="Q18" s="130"/>
      <x:c r="R18" s="130"/>
      <x:c r="S18" s="130"/>
      <x:c r="T18" s="130"/>
      <x:c r="U18" s="130"/>
      <x:c r="V18" s="130"/>
      <x:c r="W18" s="130"/>
      <x:c r="X18" s="130"/>
      <x:c r="Y18" s="130"/>
      <x:c r="Z18" s="130"/>
      <x:c r="AA18" s="130"/>
      <x:c r="AB18" s="130"/>
      <x:c r="AC18" s="130"/>
      <x:c r="AD18" s="130"/>
      <x:c r="AE18" s="130"/>
      <x:c r="AF18" s="130"/>
      <x:c r="AG18" s="130"/>
      <x:c r="AH18" s="130"/>
      <x:c r="AI18" s="130"/>
      <x:c r="AJ18" s="130"/>
      <x:c r="AK18" s="130"/>
      <x:c r="AL18" s="130"/>
      <x:c r="AM18" s="130"/>
      <x:c r="AN18" s="130"/>
      <x:c r="AO18" s="130"/>
      <x:c r="AP18" s="130"/>
      <x:c r="AQ18" s="130"/>
      <x:c r="AR18" s="130"/>
      <x:c r="AS18" s="130"/>
      <x:c r="AT18" s="130"/>
      <x:c r="AU18" s="130"/>
      <x:c r="AV18" s="130"/>
      <x:c r="AW18" s="130"/>
      <x:c r="AX18" s="130"/>
      <x:c r="AY18" s="130"/>
      <x:c r="AZ18" s="130"/>
    </x:row>
    <x:row r="19">
      <x:c r="A19" s="130"/>
      <x:c r="B19" s="130"/>
      <x:c r="C19" s="130"/>
      <x:c r="D19" s="130"/>
      <x:c r="E19" s="130"/>
      <x:c r="F19" s="130"/>
      <x:c r="G19" s="130"/>
      <x:c r="H19" s="130"/>
      <x:c r="I19" s="130"/>
      <x:c r="J19" s="130"/>
      <x:c r="K19" s="130"/>
      <x:c r="L19" s="130"/>
      <x:c r="M19" s="130"/>
      <x:c r="N19" s="130"/>
      <x:c r="O19" s="130"/>
      <x:c r="P19" s="130"/>
      <x:c r="Q19" s="130"/>
      <x:c r="R19" s="130"/>
      <x:c r="S19" s="130"/>
      <x:c r="T19" s="130"/>
      <x:c r="U19" s="130"/>
      <x:c r="V19" s="130"/>
      <x:c r="W19" s="130"/>
      <x:c r="X19" s="130"/>
      <x:c r="Y19" s="130"/>
      <x:c r="Z19" s="130"/>
      <x:c r="AA19" s="130"/>
      <x:c r="AB19" s="130"/>
      <x:c r="AC19" s="130"/>
      <x:c r="AD19" s="130"/>
      <x:c r="AE19" s="130"/>
      <x:c r="AF19" s="130"/>
      <x:c r="AG19" s="130"/>
      <x:c r="AH19" s="130"/>
      <x:c r="AI19" s="130"/>
      <x:c r="AJ19" s="130"/>
      <x:c r="AK19" s="130"/>
      <x:c r="AL19" s="130"/>
      <x:c r="AM19" s="130"/>
      <x:c r="AN19" s="130"/>
      <x:c r="AO19" s="130"/>
      <x:c r="AP19" s="130"/>
      <x:c r="AQ19" s="130"/>
      <x:c r="AR19" s="130"/>
      <x:c r="AS19" s="130"/>
      <x:c r="AT19" s="130"/>
      <x:c r="AU19" s="130"/>
      <x:c r="AV19" s="130"/>
      <x:c r="AW19" s="130"/>
      <x:c r="AX19" s="130"/>
      <x:c r="AY19" s="130"/>
      <x:c r="AZ19" s="130"/>
    </x:row>
    <x:row r="20">
      <x:c r="A20" s="130"/>
      <x:c r="B20" s="130"/>
      <x:c r="C20" s="130"/>
      <x:c r="D20" s="130"/>
      <x:c r="E20" s="130"/>
      <x:c r="F20" s="130"/>
      <x:c r="G20" s="130"/>
      <x:c r="H20" s="130"/>
      <x:c r="I20" s="130"/>
      <x:c r="J20" s="130"/>
      <x:c r="K20" s="130"/>
      <x:c r="L20" s="130"/>
      <x:c r="M20" s="130"/>
      <x:c r="N20" s="130"/>
      <x:c r="O20" s="130"/>
      <x:c r="P20" s="130"/>
      <x:c r="Q20" s="130"/>
      <x:c r="R20" s="130"/>
      <x:c r="S20" s="130"/>
      <x:c r="T20" s="130"/>
      <x:c r="U20" s="130"/>
      <x:c r="V20" s="130"/>
      <x:c r="W20" s="130"/>
      <x:c r="X20" s="130"/>
      <x:c r="Y20" s="130"/>
      <x:c r="Z20" s="130"/>
      <x:c r="AA20" s="130"/>
      <x:c r="AB20" s="130"/>
      <x:c r="AC20" s="130"/>
      <x:c r="AD20" s="130"/>
      <x:c r="AE20" s="130"/>
      <x:c r="AF20" s="130"/>
      <x:c r="AG20" s="130"/>
      <x:c r="AH20" s="130"/>
      <x:c r="AI20" s="130"/>
      <x:c r="AJ20" s="130"/>
      <x:c r="AK20" s="130"/>
      <x:c r="AL20" s="130"/>
      <x:c r="AM20" s="130"/>
      <x:c r="AN20" s="130"/>
      <x:c r="AO20" s="130"/>
      <x:c r="AP20" s="130"/>
      <x:c r="AQ20" s="130"/>
      <x:c r="AR20" s="130"/>
      <x:c r="AS20" s="130"/>
      <x:c r="AT20" s="130"/>
      <x:c r="AU20" s="130"/>
      <x:c r="AV20" s="130"/>
      <x:c r="AW20" s="130"/>
      <x:c r="AX20" s="130"/>
      <x:c r="AY20" s="130"/>
      <x:c r="AZ20" s="130"/>
    </x:row>
    <x:row r="21">
      <x:c r="A21" s="130"/>
      <x:c r="B21" s="130"/>
      <x:c r="C21" s="130"/>
      <x:c r="D21" s="130"/>
      <x:c r="E21" s="130"/>
      <x:c r="F21" s="130"/>
      <x:c r="G21" s="130"/>
      <x:c r="H21" s="130"/>
      <x:c r="I21" s="130"/>
      <x:c r="J21" s="130"/>
      <x:c r="K21" s="130"/>
      <x:c r="L21" s="130"/>
      <x:c r="M21" s="130"/>
      <x:c r="N21" s="130"/>
      <x:c r="O21" s="130"/>
      <x:c r="P21" s="130"/>
      <x:c r="Q21" s="130"/>
      <x:c r="R21" s="130"/>
      <x:c r="S21" s="130"/>
      <x:c r="T21" s="130"/>
      <x:c r="U21" s="130"/>
      <x:c r="V21" s="130"/>
      <x:c r="W21" s="130"/>
      <x:c r="X21" s="130"/>
      <x:c r="Y21" s="130"/>
      <x:c r="Z21" s="130"/>
      <x:c r="AA21" s="130"/>
      <x:c r="AB21" s="130"/>
      <x:c r="AC21" s="130"/>
      <x:c r="AD21" s="130"/>
      <x:c r="AE21" s="130"/>
      <x:c r="AF21" s="130"/>
      <x:c r="AG21" s="130"/>
      <x:c r="AH21" s="130"/>
      <x:c r="AI21" s="130"/>
      <x:c r="AJ21" s="130"/>
      <x:c r="AK21" s="130"/>
      <x:c r="AL21" s="130"/>
      <x:c r="AM21" s="130"/>
      <x:c r="AN21" s="130"/>
      <x:c r="AO21" s="130"/>
      <x:c r="AP21" s="130"/>
      <x:c r="AQ21" s="130"/>
      <x:c r="AR21" s="130"/>
      <x:c r="AS21" s="130"/>
      <x:c r="AT21" s="130"/>
      <x:c r="AU21" s="130"/>
      <x:c r="AV21" s="130"/>
      <x:c r="AW21" s="130"/>
      <x:c r="AX21" s="130"/>
      <x:c r="AY21" s="130"/>
      <x:c r="AZ21" s="130"/>
    </x:row>
    <x:row r="22">
      <x:c r="A22" s="130"/>
      <x:c r="B22" s="130"/>
      <x:c r="C22" s="130"/>
      <x:c r="D22" s="130"/>
      <x:c r="E22" s="130"/>
      <x:c r="F22" s="130"/>
      <x:c r="G22" s="130"/>
      <x:c r="H22" s="130"/>
      <x:c r="I22" s="130"/>
      <x:c r="J22" s="130"/>
      <x:c r="K22" s="130"/>
      <x:c r="L22" s="130"/>
      <x:c r="M22" s="130"/>
      <x:c r="N22" s="130"/>
      <x:c r="O22" s="130"/>
      <x:c r="P22" s="130"/>
      <x:c r="Q22" s="130"/>
      <x:c r="R22" s="130"/>
      <x:c r="S22" s="130"/>
      <x:c r="T22" s="130"/>
      <x:c r="U22" s="130"/>
      <x:c r="V22" s="130"/>
      <x:c r="W22" s="130"/>
      <x:c r="X22" s="130"/>
      <x:c r="Y22" s="130"/>
      <x:c r="Z22" s="130"/>
      <x:c r="AA22" s="130"/>
      <x:c r="AB22" s="130"/>
      <x:c r="AC22" s="130"/>
      <x:c r="AD22" s="130"/>
      <x:c r="AE22" s="130"/>
      <x:c r="AF22" s="130"/>
      <x:c r="AG22" s="130"/>
      <x:c r="AH22" s="130"/>
      <x:c r="AI22" s="130"/>
      <x:c r="AJ22" s="130"/>
      <x:c r="AK22" s="130"/>
      <x:c r="AL22" s="130"/>
      <x:c r="AM22" s="130"/>
      <x:c r="AN22" s="130"/>
      <x:c r="AO22" s="130"/>
      <x:c r="AP22" s="130"/>
      <x:c r="AQ22" s="130"/>
      <x:c r="AR22" s="130"/>
      <x:c r="AS22" s="130"/>
      <x:c r="AT22" s="130"/>
      <x:c r="AU22" s="130"/>
      <x:c r="AV22" s="130"/>
      <x:c r="AW22" s="130"/>
      <x:c r="AX22" s="130"/>
      <x:c r="AY22" s="130"/>
      <x:c r="AZ22" s="130"/>
    </x:row>
    <x:row r="23">
      <x:c r="A23" s="130"/>
      <x:c r="B23" s="130"/>
      <x:c r="C23" s="130"/>
      <x:c r="D23" s="130"/>
      <x:c r="E23" s="130"/>
      <x:c r="F23" s="130"/>
      <x:c r="G23" s="130"/>
      <x:c r="H23" s="130"/>
      <x:c r="I23" s="130"/>
      <x:c r="J23" s="130"/>
      <x:c r="K23" s="130"/>
      <x:c r="L23" s="130"/>
      <x:c r="M23" s="130"/>
      <x:c r="N23" s="130"/>
      <x:c r="O23" s="130"/>
      <x:c r="P23" s="130"/>
      <x:c r="Q23" s="130"/>
      <x:c r="R23" s="130"/>
      <x:c r="S23" s="130"/>
      <x:c r="T23" s="130"/>
      <x:c r="U23" s="130"/>
      <x:c r="V23" s="130"/>
      <x:c r="W23" s="130"/>
      <x:c r="X23" s="130"/>
      <x:c r="Y23" s="130"/>
      <x:c r="Z23" s="130"/>
      <x:c r="AA23" s="130"/>
      <x:c r="AB23" s="130"/>
      <x:c r="AC23" s="130"/>
      <x:c r="AD23" s="130"/>
      <x:c r="AE23" s="130"/>
      <x:c r="AF23" s="130"/>
      <x:c r="AG23" s="130"/>
      <x:c r="AH23" s="130"/>
      <x:c r="AI23" s="130"/>
      <x:c r="AJ23" s="130"/>
      <x:c r="AK23" s="130"/>
      <x:c r="AL23" s="130"/>
      <x:c r="AM23" s="130"/>
      <x:c r="AN23" s="130"/>
      <x:c r="AO23" s="130"/>
      <x:c r="AP23" s="130"/>
      <x:c r="AQ23" s="130"/>
      <x:c r="AR23" s="130"/>
      <x:c r="AS23" s="130"/>
      <x:c r="AT23" s="130"/>
      <x:c r="AU23" s="130"/>
      <x:c r="AV23" s="130"/>
      <x:c r="AW23" s="130"/>
      <x:c r="AX23" s="130"/>
      <x:c r="AY23" s="130"/>
      <x:c r="AZ23" s="130"/>
    </x:row>
    <x:row r="24">
      <x:c r="A24" s="130"/>
      <x:c r="B24" s="130"/>
      <x:c r="C24" s="130"/>
      <x:c r="D24" s="130"/>
      <x:c r="E24" s="130"/>
      <x:c r="F24" s="130"/>
      <x:c r="G24" s="130"/>
      <x:c r="H24" s="130"/>
      <x:c r="I24" s="130"/>
      <x:c r="J24" s="130"/>
      <x:c r="K24" s="130"/>
      <x:c r="L24" s="130"/>
      <x:c r="M24" s="130"/>
      <x:c r="N24" s="130"/>
      <x:c r="O24" s="130"/>
      <x:c r="P24" s="130"/>
      <x:c r="Q24" s="130"/>
      <x:c r="R24" s="130"/>
      <x:c r="S24" s="130"/>
      <x:c r="T24" s="130"/>
      <x:c r="U24" s="130"/>
      <x:c r="V24" s="130"/>
      <x:c r="W24" s="130"/>
      <x:c r="X24" s="130"/>
      <x:c r="Y24" s="130"/>
      <x:c r="Z24" s="130"/>
      <x:c r="AA24" s="130"/>
      <x:c r="AB24" s="130"/>
      <x:c r="AC24" s="130"/>
      <x:c r="AD24" s="130"/>
      <x:c r="AE24" s="130"/>
      <x:c r="AF24" s="130"/>
      <x:c r="AG24" s="130"/>
      <x:c r="AH24" s="130"/>
      <x:c r="AI24" s="130"/>
      <x:c r="AJ24" s="130"/>
      <x:c r="AK24" s="130"/>
      <x:c r="AL24" s="130"/>
      <x:c r="AM24" s="130"/>
      <x:c r="AN24" s="130"/>
      <x:c r="AO24" s="130"/>
      <x:c r="AP24" s="130"/>
      <x:c r="AQ24" s="130"/>
      <x:c r="AR24" s="130"/>
      <x:c r="AS24" s="130"/>
      <x:c r="AT24" s="130"/>
      <x:c r="AU24" s="130"/>
      <x:c r="AV24" s="130"/>
      <x:c r="AW24" s="130"/>
      <x:c r="AX24" s="130"/>
      <x:c r="AY24" s="130"/>
      <x:c r="AZ24" s="130"/>
    </x:row>
    <x:row r="25">
      <x:c r="A25" s="130"/>
      <x:c r="B25" s="130"/>
      <x:c r="C25" s="130"/>
      <x:c r="D25" s="130"/>
      <x:c r="E25" s="130"/>
      <x:c r="F25" s="130"/>
      <x:c r="G25" s="130"/>
      <x:c r="H25" s="130"/>
      <x:c r="I25" s="130"/>
      <x:c r="J25" s="130"/>
      <x:c r="K25" s="130"/>
      <x:c r="L25" s="130"/>
      <x:c r="M25" s="130"/>
      <x:c r="N25" s="130"/>
      <x:c r="O25" s="130"/>
      <x:c r="P25" s="130"/>
      <x:c r="Q25" s="130"/>
      <x:c r="R25" s="130"/>
      <x:c r="S25" s="130"/>
      <x:c r="T25" s="130"/>
      <x:c r="U25" s="130"/>
      <x:c r="V25" s="130"/>
      <x:c r="W25" s="130"/>
      <x:c r="X25" s="130"/>
      <x:c r="Y25" s="130"/>
      <x:c r="Z25" s="130"/>
      <x:c r="AA25" s="130"/>
      <x:c r="AB25" s="130"/>
      <x:c r="AC25" s="130"/>
      <x:c r="AD25" s="130"/>
      <x:c r="AE25" s="130"/>
      <x:c r="AF25" s="130"/>
      <x:c r="AG25" s="130"/>
      <x:c r="AH25" s="130"/>
      <x:c r="AI25" s="130"/>
      <x:c r="AJ25" s="130"/>
      <x:c r="AK25" s="130"/>
      <x:c r="AL25" s="130"/>
      <x:c r="AM25" s="130"/>
      <x:c r="AN25" s="130"/>
      <x:c r="AO25" s="130"/>
      <x:c r="AP25" s="130"/>
      <x:c r="AQ25" s="130"/>
      <x:c r="AR25" s="130"/>
      <x:c r="AS25" s="130"/>
      <x:c r="AT25" s="130"/>
      <x:c r="AU25" s="130"/>
      <x:c r="AV25" s="130"/>
      <x:c r="AW25" s="130"/>
      <x:c r="AX25" s="130"/>
      <x:c r="AY25" s="130"/>
      <x:c r="AZ25" s="130"/>
    </x:row>
    <x:row r="26">
      <x:c r="A26" s="130"/>
      <x:c r="B26" s="130"/>
      <x:c r="C26" s="130"/>
      <x:c r="D26" s="130"/>
      <x:c r="E26" s="130"/>
      <x:c r="F26" s="130"/>
      <x:c r="G26" s="130"/>
      <x:c r="H26" s="130"/>
      <x:c r="I26" s="130"/>
      <x:c r="J26" s="130"/>
      <x:c r="K26" s="130"/>
      <x:c r="L26" s="130"/>
      <x:c r="M26" s="130"/>
      <x:c r="N26" s="130"/>
      <x:c r="O26" s="130"/>
      <x:c r="P26" s="130"/>
      <x:c r="Q26" s="130"/>
      <x:c r="R26" s="130"/>
      <x:c r="S26" s="130"/>
      <x:c r="T26" s="130"/>
      <x:c r="U26" s="130"/>
      <x:c r="V26" s="130"/>
      <x:c r="W26" s="130"/>
      <x:c r="X26" s="130"/>
      <x:c r="Y26" s="130"/>
      <x:c r="Z26" s="130"/>
      <x:c r="AA26" s="130"/>
      <x:c r="AB26" s="130"/>
      <x:c r="AC26" s="130"/>
      <x:c r="AD26" s="130"/>
      <x:c r="AE26" s="130"/>
      <x:c r="AF26" s="130"/>
      <x:c r="AG26" s="130"/>
      <x:c r="AH26" s="130"/>
      <x:c r="AI26" s="130"/>
      <x:c r="AJ26" s="130"/>
      <x:c r="AK26" s="130"/>
      <x:c r="AL26" s="130"/>
      <x:c r="AM26" s="130"/>
      <x:c r="AN26" s="130"/>
      <x:c r="AO26" s="130"/>
      <x:c r="AP26" s="130"/>
      <x:c r="AQ26" s="130"/>
      <x:c r="AR26" s="130"/>
      <x:c r="AS26" s="130"/>
      <x:c r="AT26" s="130"/>
      <x:c r="AU26" s="130"/>
      <x:c r="AV26" s="130"/>
      <x:c r="AW26" s="130"/>
      <x:c r="AX26" s="130"/>
      <x:c r="AY26" s="130"/>
      <x:c r="AZ26" s="130"/>
    </x:row>
    <x:row r="27">
      <x:c r="A27" s="130"/>
      <x:c r="B27" s="130"/>
      <x:c r="C27" s="130"/>
      <x:c r="D27" s="130"/>
      <x:c r="E27" s="130"/>
      <x:c r="F27" s="130"/>
      <x:c r="G27" s="130"/>
      <x:c r="H27" s="130"/>
      <x:c r="I27" s="130"/>
      <x:c r="J27" s="130"/>
      <x:c r="K27" s="130"/>
      <x:c r="L27" s="130"/>
      <x:c r="M27" s="130"/>
      <x:c r="N27" s="130"/>
      <x:c r="O27" s="130"/>
      <x:c r="P27" s="130"/>
      <x:c r="Q27" s="130"/>
      <x:c r="R27" s="130"/>
      <x:c r="S27" s="130"/>
      <x:c r="T27" s="130"/>
      <x:c r="U27" s="130"/>
      <x:c r="V27" s="130"/>
      <x:c r="W27" s="130"/>
      <x:c r="X27" s="130"/>
      <x:c r="Y27" s="130"/>
      <x:c r="Z27" s="130"/>
      <x:c r="AA27" s="130"/>
      <x:c r="AB27" s="130"/>
      <x:c r="AC27" s="130"/>
      <x:c r="AD27" s="130"/>
      <x:c r="AE27" s="130"/>
      <x:c r="AF27" s="130"/>
      <x:c r="AG27" s="130"/>
      <x:c r="AH27" s="130"/>
      <x:c r="AI27" s="130"/>
      <x:c r="AJ27" s="130"/>
      <x:c r="AK27" s="130"/>
      <x:c r="AL27" s="130"/>
      <x:c r="AM27" s="130"/>
      <x:c r="AN27" s="130"/>
      <x:c r="AO27" s="130"/>
      <x:c r="AP27" s="130"/>
      <x:c r="AQ27" s="130"/>
      <x:c r="AR27" s="130"/>
      <x:c r="AS27" s="130"/>
      <x:c r="AT27" s="130"/>
      <x:c r="AU27" s="130"/>
      <x:c r="AV27" s="130"/>
      <x:c r="AW27" s="130"/>
      <x:c r="AX27" s="130"/>
      <x:c r="AY27" s="130"/>
      <x:c r="AZ27" s="130"/>
    </x:row>
    <x:row r="28">
      <x:c r="A28" s="130"/>
      <x:c r="B28" s="130"/>
      <x:c r="C28" s="130"/>
      <x:c r="D28" s="130"/>
      <x:c r="E28" s="130"/>
      <x:c r="F28" s="130"/>
      <x:c r="G28" s="130"/>
      <x:c r="H28" s="130"/>
      <x:c r="I28" s="130"/>
      <x:c r="J28" s="130"/>
      <x:c r="K28" s="130"/>
      <x:c r="L28" s="130"/>
      <x:c r="M28" s="130"/>
      <x:c r="N28" s="130"/>
      <x:c r="O28" s="130"/>
      <x:c r="P28" s="130"/>
      <x:c r="Q28" s="130"/>
      <x:c r="R28" s="130"/>
      <x:c r="S28" s="130"/>
      <x:c r="T28" s="130"/>
      <x:c r="U28" s="130"/>
      <x:c r="V28" s="130"/>
      <x:c r="W28" s="130"/>
      <x:c r="X28" s="130"/>
      <x:c r="Y28" s="130"/>
      <x:c r="Z28" s="130"/>
      <x:c r="AA28" s="130"/>
      <x:c r="AB28" s="130"/>
      <x:c r="AC28" s="130"/>
      <x:c r="AD28" s="130"/>
      <x:c r="AE28" s="130"/>
      <x:c r="AF28" s="130"/>
      <x:c r="AG28" s="130"/>
      <x:c r="AH28" s="130"/>
      <x:c r="AI28" s="130"/>
      <x:c r="AJ28" s="130"/>
      <x:c r="AK28" s="130"/>
      <x:c r="AL28" s="130"/>
      <x:c r="AM28" s="130"/>
      <x:c r="AN28" s="130"/>
      <x:c r="AO28" s="130"/>
      <x:c r="AP28" s="130"/>
      <x:c r="AQ28" s="130"/>
      <x:c r="AR28" s="130"/>
      <x:c r="AS28" s="130"/>
      <x:c r="AT28" s="130"/>
      <x:c r="AU28" s="130"/>
      <x:c r="AV28" s="130"/>
      <x:c r="AW28" s="130"/>
      <x:c r="AX28" s="130"/>
      <x:c r="AY28" s="130"/>
      <x:c r="AZ28" s="130"/>
    </x:row>
    <x:row r="29">
      <x:c r="A29" s="130"/>
      <x:c r="B29" s="130"/>
      <x:c r="C29" s="130"/>
      <x:c r="D29" s="130"/>
      <x:c r="E29" s="130"/>
      <x:c r="F29" s="130"/>
      <x:c r="G29" s="130"/>
      <x:c r="H29" s="130"/>
      <x:c r="I29" s="130"/>
      <x:c r="J29" s="130"/>
      <x:c r="K29" s="130"/>
      <x:c r="L29" s="130"/>
      <x:c r="M29" s="130"/>
      <x:c r="N29" s="130"/>
      <x:c r="O29" s="130"/>
      <x:c r="P29" s="130"/>
      <x:c r="Q29" s="130"/>
      <x:c r="R29" s="130"/>
      <x:c r="S29" s="130"/>
      <x:c r="T29" s="130"/>
      <x:c r="U29" s="130"/>
      <x:c r="V29" s="130"/>
      <x:c r="W29" s="130"/>
      <x:c r="X29" s="130"/>
      <x:c r="Y29" s="130"/>
      <x:c r="Z29" s="130"/>
      <x:c r="AA29" s="130"/>
      <x:c r="AB29" s="130"/>
      <x:c r="AC29" s="130"/>
      <x:c r="AD29" s="130"/>
      <x:c r="AE29" s="130"/>
      <x:c r="AF29" s="130"/>
      <x:c r="AG29" s="130"/>
      <x:c r="AH29" s="130"/>
      <x:c r="AI29" s="130"/>
      <x:c r="AJ29" s="130"/>
      <x:c r="AK29" s="130"/>
      <x:c r="AL29" s="130"/>
      <x:c r="AM29" s="130"/>
      <x:c r="AN29" s="130"/>
      <x:c r="AO29" s="130"/>
      <x:c r="AP29" s="130"/>
      <x:c r="AQ29" s="130"/>
      <x:c r="AR29" s="130"/>
      <x:c r="AS29" s="130"/>
      <x:c r="AT29" s="130"/>
      <x:c r="AU29" s="130"/>
      <x:c r="AV29" s="130"/>
      <x:c r="AW29" s="130"/>
      <x:c r="AX29" s="130"/>
      <x:c r="AY29" s="130"/>
      <x:c r="AZ29" s="130"/>
    </x:row>
    <x:row r="30">
      <x:c r="A30" s="130"/>
      <x:c r="B30" s="130"/>
      <x:c r="C30" s="130"/>
      <x:c r="D30" s="130"/>
      <x:c r="E30" s="130"/>
      <x:c r="F30" s="130"/>
      <x:c r="G30" s="130"/>
      <x:c r="H30" s="130"/>
      <x:c r="I30" s="130"/>
      <x:c r="J30" s="130"/>
      <x:c r="K30" s="130"/>
      <x:c r="L30" s="130"/>
      <x:c r="M30" s="130"/>
      <x:c r="N30" s="130"/>
      <x:c r="O30" s="130"/>
      <x:c r="P30" s="130"/>
      <x:c r="Q30" s="130"/>
      <x:c r="R30" s="130"/>
      <x:c r="S30" s="130"/>
      <x:c r="T30" s="130"/>
      <x:c r="U30" s="130"/>
      <x:c r="V30" s="130"/>
      <x:c r="W30" s="130"/>
      <x:c r="X30" s="130"/>
      <x:c r="Y30" s="130"/>
      <x:c r="Z30" s="130"/>
      <x:c r="AA30" s="130"/>
      <x:c r="AB30" s="130"/>
      <x:c r="AC30" s="130"/>
      <x:c r="AD30" s="130"/>
      <x:c r="AE30" s="130"/>
      <x:c r="AF30" s="130"/>
      <x:c r="AG30" s="130"/>
      <x:c r="AH30" s="130"/>
      <x:c r="AI30" s="130"/>
      <x:c r="AJ30" s="130"/>
      <x:c r="AK30" s="130"/>
      <x:c r="AL30" s="130"/>
      <x:c r="AM30" s="130"/>
      <x:c r="AN30" s="130"/>
      <x:c r="AO30" s="130"/>
      <x:c r="AP30" s="130"/>
      <x:c r="AQ30" s="130"/>
      <x:c r="AR30" s="130"/>
      <x:c r="AS30" s="130"/>
      <x:c r="AT30" s="130"/>
      <x:c r="AU30" s="130"/>
      <x:c r="AV30" s="130"/>
      <x:c r="AW30" s="130"/>
      <x:c r="AX30" s="130"/>
      <x:c r="AY30" s="130"/>
      <x:c r="AZ30" s="130"/>
    </x:row>
    <x:row r="31">
      <x:c r="A31" s="130"/>
      <x:c r="B31" s="130"/>
      <x:c r="C31" s="130"/>
      <x:c r="D31" s="130"/>
      <x:c r="E31" s="130"/>
      <x:c r="F31" s="130"/>
      <x:c r="G31" s="130"/>
      <x:c r="H31" s="130"/>
      <x:c r="I31" s="130"/>
      <x:c r="J31" s="130"/>
      <x:c r="K31" s="130"/>
      <x:c r="L31" s="130"/>
      <x:c r="M31" s="130"/>
      <x:c r="N31" s="130"/>
      <x:c r="O31" s="130"/>
      <x:c r="P31" s="130"/>
      <x:c r="Q31" s="130"/>
      <x:c r="R31" s="130"/>
      <x:c r="S31" s="130"/>
      <x:c r="T31" s="130"/>
      <x:c r="U31" s="130"/>
      <x:c r="V31" s="130"/>
      <x:c r="W31" s="130"/>
      <x:c r="X31" s="130"/>
      <x:c r="Y31" s="130"/>
      <x:c r="Z31" s="130"/>
      <x:c r="AA31" s="130"/>
      <x:c r="AB31" s="130"/>
      <x:c r="AC31" s="130"/>
      <x:c r="AD31" s="130"/>
      <x:c r="AE31" s="130"/>
      <x:c r="AF31" s="130"/>
      <x:c r="AG31" s="130"/>
      <x:c r="AH31" s="130"/>
      <x:c r="AI31" s="130"/>
      <x:c r="AJ31" s="130"/>
      <x:c r="AK31" s="130"/>
      <x:c r="AL31" s="130"/>
      <x:c r="AM31" s="130"/>
      <x:c r="AN31" s="130"/>
      <x:c r="AO31" s="130"/>
      <x:c r="AP31" s="130"/>
      <x:c r="AQ31" s="130"/>
      <x:c r="AR31" s="130"/>
      <x:c r="AS31" s="130"/>
      <x:c r="AT31" s="130"/>
      <x:c r="AU31" s="130"/>
      <x:c r="AV31" s="130"/>
      <x:c r="AW31" s="130"/>
      <x:c r="AX31" s="130"/>
      <x:c r="AY31" s="130"/>
      <x:c r="AZ31" s="130"/>
    </x:row>
    <x:row r="32">
      <x:c r="A32" s="130"/>
      <x:c r="B32" s="130"/>
      <x:c r="C32" s="130"/>
      <x:c r="D32" s="130"/>
      <x:c r="E32" s="130"/>
      <x:c r="F32" s="130"/>
      <x:c r="G32" s="130"/>
      <x:c r="H32" s="130"/>
      <x:c r="I32" s="130"/>
      <x:c r="J32" s="130"/>
      <x:c r="K32" s="130"/>
      <x:c r="L32" s="130"/>
      <x:c r="M32" s="130"/>
      <x:c r="N32" s="130"/>
      <x:c r="O32" s="130"/>
      <x:c r="P32" s="130"/>
      <x:c r="Q32" s="130"/>
      <x:c r="R32" s="130"/>
      <x:c r="S32" s="130"/>
      <x:c r="T32" s="130"/>
      <x:c r="U32" s="130"/>
      <x:c r="V32" s="130"/>
      <x:c r="W32" s="130"/>
      <x:c r="X32" s="130"/>
      <x:c r="Y32" s="130"/>
      <x:c r="Z32" s="130"/>
      <x:c r="AA32" s="130"/>
      <x:c r="AB32" s="130"/>
      <x:c r="AC32" s="130"/>
      <x:c r="AD32" s="130"/>
      <x:c r="AE32" s="130"/>
      <x:c r="AF32" s="130"/>
      <x:c r="AG32" s="130"/>
      <x:c r="AH32" s="130"/>
      <x:c r="AI32" s="130"/>
      <x:c r="AJ32" s="130"/>
      <x:c r="AK32" s="130"/>
      <x:c r="AL32" s="130"/>
      <x:c r="AM32" s="130"/>
      <x:c r="AN32" s="130"/>
      <x:c r="AO32" s="130"/>
      <x:c r="AP32" s="130"/>
      <x:c r="AQ32" s="130"/>
      <x:c r="AR32" s="130"/>
      <x:c r="AS32" s="130"/>
      <x:c r="AT32" s="130"/>
      <x:c r="AU32" s="130"/>
      <x:c r="AV32" s="130"/>
      <x:c r="AW32" s="130"/>
      <x:c r="AX32" s="130"/>
      <x:c r="AY32" s="130"/>
      <x:c r="AZ32" s="130"/>
    </x:row>
    <x:row r="33">
      <x:c r="A33" s="130"/>
      <x:c r="B33" s="130"/>
      <x:c r="C33" s="130"/>
      <x:c r="D33" s="130"/>
      <x:c r="E33" s="130"/>
      <x:c r="F33" s="130"/>
      <x:c r="G33" s="130"/>
      <x:c r="H33" s="130"/>
      <x:c r="I33" s="130"/>
      <x:c r="J33" s="130"/>
      <x:c r="K33" s="130"/>
      <x:c r="L33" s="130"/>
      <x:c r="M33" s="130"/>
      <x:c r="N33" s="130"/>
      <x:c r="O33" s="130"/>
      <x:c r="P33" s="130"/>
      <x:c r="Q33" s="130"/>
      <x:c r="R33" s="130"/>
      <x:c r="S33" s="130"/>
      <x:c r="T33" s="130"/>
      <x:c r="U33" s="130"/>
      <x:c r="V33" s="130"/>
      <x:c r="W33" s="130"/>
      <x:c r="X33" s="130"/>
      <x:c r="Y33" s="130"/>
      <x:c r="Z33" s="130"/>
      <x:c r="AA33" s="130"/>
      <x:c r="AB33" s="130"/>
      <x:c r="AC33" s="130"/>
      <x:c r="AD33" s="130"/>
      <x:c r="AE33" s="130"/>
      <x:c r="AF33" s="130"/>
      <x:c r="AG33" s="130"/>
      <x:c r="AH33" s="130"/>
      <x:c r="AI33" s="130"/>
      <x:c r="AJ33" s="130"/>
      <x:c r="AK33" s="130"/>
      <x:c r="AL33" s="130"/>
      <x:c r="AM33" s="130"/>
      <x:c r="AN33" s="130"/>
      <x:c r="AO33" s="130"/>
      <x:c r="AP33" s="130"/>
      <x:c r="AQ33" s="130"/>
      <x:c r="AR33" s="130"/>
      <x:c r="AS33" s="130"/>
      <x:c r="AT33" s="130"/>
      <x:c r="AU33" s="130"/>
      <x:c r="AV33" s="130"/>
      <x:c r="AW33" s="130"/>
      <x:c r="AX33" s="130"/>
      <x:c r="AY33" s="130"/>
      <x:c r="AZ33" s="130"/>
    </x:row>
    <x:row r="34">
      <x:c r="A34" s="130"/>
      <x:c r="B34" s="130"/>
      <x:c r="C34" s="130"/>
      <x:c r="D34" s="130"/>
      <x:c r="E34" s="130"/>
      <x:c r="F34" s="130"/>
      <x:c r="G34" s="130"/>
      <x:c r="H34" s="130"/>
      <x:c r="I34" s="130"/>
      <x:c r="J34" s="130"/>
      <x:c r="K34" s="130"/>
      <x:c r="L34" s="130"/>
      <x:c r="M34" s="130"/>
      <x:c r="N34" s="130"/>
      <x:c r="O34" s="130"/>
      <x:c r="P34" s="130"/>
      <x:c r="Q34" s="130"/>
      <x:c r="R34" s="130"/>
      <x:c r="S34" s="130"/>
      <x:c r="T34" s="130"/>
      <x:c r="U34" s="130"/>
      <x:c r="V34" s="130"/>
      <x:c r="W34" s="130"/>
      <x:c r="X34" s="130"/>
      <x:c r="Y34" s="130"/>
      <x:c r="Z34" s="130"/>
      <x:c r="AA34" s="130"/>
      <x:c r="AB34" s="130"/>
      <x:c r="AC34" s="130"/>
      <x:c r="AD34" s="130"/>
      <x:c r="AE34" s="130"/>
      <x:c r="AF34" s="130"/>
      <x:c r="AG34" s="130"/>
      <x:c r="AH34" s="130"/>
      <x:c r="AI34" s="130"/>
      <x:c r="AJ34" s="130"/>
      <x:c r="AK34" s="130"/>
      <x:c r="AL34" s="130"/>
      <x:c r="AM34" s="130"/>
      <x:c r="AN34" s="130"/>
      <x:c r="AO34" s="130"/>
      <x:c r="AP34" s="130"/>
      <x:c r="AQ34" s="130"/>
      <x:c r="AR34" s="130"/>
      <x:c r="AS34" s="130"/>
      <x:c r="AT34" s="130"/>
      <x:c r="AU34" s="130"/>
      <x:c r="AV34" s="130"/>
      <x:c r="AW34" s="130"/>
      <x:c r="AX34" s="130"/>
      <x:c r="AY34" s="130"/>
      <x:c r="AZ34" s="130"/>
    </x:row>
    <x:row r="35">
      <x:c r="A35" s="130"/>
      <x:c r="B35" s="130"/>
      <x:c r="C35" s="130"/>
      <x:c r="D35" s="130"/>
      <x:c r="E35" s="130"/>
      <x:c r="F35" s="130"/>
      <x:c r="G35" s="130"/>
      <x:c r="H35" s="130"/>
      <x:c r="I35" s="130"/>
      <x:c r="J35" s="130"/>
      <x:c r="K35" s="130"/>
      <x:c r="L35" s="130"/>
      <x:c r="M35" s="130"/>
      <x:c r="N35" s="130"/>
      <x:c r="O35" s="130"/>
      <x:c r="P35" s="130"/>
      <x:c r="Q35" s="130"/>
      <x:c r="R35" s="130"/>
      <x:c r="S35" s="130"/>
      <x:c r="T35" s="130"/>
      <x:c r="U35" s="130"/>
      <x:c r="V35" s="130"/>
      <x:c r="W35" s="130"/>
      <x:c r="X35" s="130"/>
      <x:c r="Y35" s="130"/>
      <x:c r="Z35" s="130"/>
      <x:c r="AA35" s="130"/>
      <x:c r="AB35" s="130"/>
      <x:c r="AC35" s="130"/>
      <x:c r="AD35" s="130"/>
      <x:c r="AE35" s="130"/>
      <x:c r="AF35" s="130"/>
      <x:c r="AG35" s="130"/>
      <x:c r="AH35" s="130"/>
      <x:c r="AI35" s="130"/>
      <x:c r="AJ35" s="130"/>
      <x:c r="AK35" s="130"/>
      <x:c r="AL35" s="130"/>
      <x:c r="AM35" s="130"/>
      <x:c r="AN35" s="130"/>
      <x:c r="AO35" s="130"/>
      <x:c r="AP35" s="130"/>
      <x:c r="AQ35" s="130"/>
      <x:c r="AR35" s="130"/>
      <x:c r="AS35" s="130"/>
      <x:c r="AT35" s="130"/>
      <x:c r="AU35" s="130"/>
      <x:c r="AV35" s="130"/>
      <x:c r="AW35" s="130"/>
      <x:c r="AX35" s="130"/>
      <x:c r="AY35" s="130"/>
      <x:c r="AZ35" s="130"/>
    </x:row>
    <x:row r="36">
      <x:c r="A36" s="130"/>
      <x:c r="B36" s="130"/>
      <x:c r="C36" s="130"/>
      <x:c r="D36" s="130"/>
      <x:c r="E36" s="130"/>
      <x:c r="F36" s="130"/>
      <x:c r="G36" s="130"/>
      <x:c r="H36" s="130"/>
      <x:c r="I36" s="130"/>
      <x:c r="J36" s="130"/>
      <x:c r="K36" s="130"/>
      <x:c r="L36" s="130"/>
      <x:c r="M36" s="130"/>
      <x:c r="N36" s="130"/>
      <x:c r="O36" s="130"/>
      <x:c r="P36" s="130"/>
      <x:c r="Q36" s="130"/>
      <x:c r="R36" s="130"/>
      <x:c r="S36" s="130"/>
      <x:c r="T36" s="130"/>
      <x:c r="U36" s="130"/>
      <x:c r="V36" s="130"/>
      <x:c r="W36" s="130"/>
      <x:c r="X36" s="130"/>
      <x:c r="Y36" s="130"/>
      <x:c r="Z36" s="130"/>
      <x:c r="AA36" s="130"/>
      <x:c r="AB36" s="130"/>
      <x:c r="AC36" s="130"/>
      <x:c r="AD36" s="130"/>
      <x:c r="AE36" s="130"/>
      <x:c r="AF36" s="130"/>
      <x:c r="AG36" s="130"/>
      <x:c r="AH36" s="130"/>
      <x:c r="AI36" s="130"/>
      <x:c r="AJ36" s="130"/>
      <x:c r="AK36" s="130"/>
      <x:c r="AL36" s="130"/>
      <x:c r="AM36" s="130"/>
      <x:c r="AN36" s="130"/>
      <x:c r="AO36" s="130"/>
      <x:c r="AP36" s="130"/>
      <x:c r="AQ36" s="130"/>
      <x:c r="AR36" s="130"/>
      <x:c r="AS36" s="130"/>
      <x:c r="AT36" s="130"/>
      <x:c r="AU36" s="130"/>
      <x:c r="AV36" s="130"/>
      <x:c r="AW36" s="130"/>
      <x:c r="AX36" s="130"/>
      <x:c r="AY36" s="130"/>
      <x:c r="AZ36" s="130"/>
    </x:row>
    <x:row r="37">
      <x:c r="A37" s="130"/>
      <x:c r="B37" s="130"/>
      <x:c r="C37" s="130"/>
      <x:c r="D37" s="130"/>
      <x:c r="E37" s="130"/>
      <x:c r="F37" s="130"/>
      <x:c r="G37" s="130"/>
      <x:c r="H37" s="130"/>
      <x:c r="I37" s="130"/>
      <x:c r="J37" s="130"/>
      <x:c r="K37" s="130"/>
      <x:c r="L37" s="130"/>
      <x:c r="M37" s="130"/>
      <x:c r="N37" s="130"/>
      <x:c r="O37" s="130"/>
      <x:c r="P37" s="130"/>
      <x:c r="Q37" s="130"/>
      <x:c r="R37" s="130"/>
      <x:c r="S37" s="130"/>
      <x:c r="T37" s="130"/>
      <x:c r="U37" s="130"/>
      <x:c r="V37" s="130"/>
      <x:c r="W37" s="130"/>
      <x:c r="X37" s="130"/>
      <x:c r="Y37" s="130"/>
      <x:c r="Z37" s="130"/>
      <x:c r="AA37" s="130"/>
      <x:c r="AB37" s="130"/>
      <x:c r="AC37" s="130"/>
      <x:c r="AD37" s="130"/>
      <x:c r="AE37" s="130"/>
      <x:c r="AF37" s="130"/>
      <x:c r="AG37" s="130"/>
      <x:c r="AH37" s="130"/>
      <x:c r="AI37" s="130"/>
      <x:c r="AJ37" s="130"/>
      <x:c r="AK37" s="130"/>
      <x:c r="AL37" s="130"/>
      <x:c r="AM37" s="130"/>
      <x:c r="AN37" s="130"/>
      <x:c r="AO37" s="130"/>
      <x:c r="AP37" s="130"/>
      <x:c r="AQ37" s="130"/>
      <x:c r="AR37" s="130"/>
      <x:c r="AS37" s="130"/>
      <x:c r="AT37" s="130"/>
      <x:c r="AU37" s="130"/>
      <x:c r="AV37" s="130"/>
      <x:c r="AW37" s="130"/>
      <x:c r="AX37" s="130"/>
      <x:c r="AY37" s="130"/>
      <x:c r="AZ37" s="130"/>
    </x:row>
    <x:row r="38">
      <x:c r="A38" s="130"/>
      <x:c r="B38" s="130"/>
      <x:c r="C38" s="130"/>
      <x:c r="D38" s="130"/>
      <x:c r="E38" s="130"/>
      <x:c r="F38" s="130"/>
      <x:c r="G38" s="130"/>
      <x:c r="H38" s="130"/>
      <x:c r="I38" s="130"/>
      <x:c r="J38" s="130"/>
      <x:c r="K38" s="130"/>
      <x:c r="L38" s="130"/>
      <x:c r="M38" s="130"/>
      <x:c r="N38" s="130"/>
      <x:c r="O38" s="130"/>
      <x:c r="P38" s="130"/>
      <x:c r="Q38" s="130"/>
      <x:c r="R38" s="130"/>
      <x:c r="S38" s="130"/>
      <x:c r="T38" s="130"/>
      <x:c r="U38" s="130"/>
      <x:c r="V38" s="130"/>
      <x:c r="W38" s="130"/>
      <x:c r="X38" s="130"/>
      <x:c r="Y38" s="130"/>
      <x:c r="Z38" s="130"/>
      <x:c r="AA38" s="130"/>
      <x:c r="AB38" s="130"/>
      <x:c r="AC38" s="130"/>
      <x:c r="AD38" s="130"/>
      <x:c r="AE38" s="130"/>
      <x:c r="AF38" s="130"/>
      <x:c r="AG38" s="130"/>
      <x:c r="AH38" s="130"/>
      <x:c r="AI38" s="130"/>
      <x:c r="AJ38" s="130"/>
      <x:c r="AK38" s="130"/>
      <x:c r="AL38" s="130"/>
      <x:c r="AM38" s="130"/>
      <x:c r="AN38" s="130"/>
      <x:c r="AO38" s="130"/>
      <x:c r="AP38" s="130"/>
      <x:c r="AQ38" s="130"/>
      <x:c r="AR38" s="130"/>
      <x:c r="AS38" s="130"/>
      <x:c r="AT38" s="130"/>
      <x:c r="AU38" s="130"/>
      <x:c r="AV38" s="130"/>
      <x:c r="AW38" s="130"/>
      <x:c r="AX38" s="130"/>
      <x:c r="AY38" s="130"/>
      <x:c r="AZ38" s="130"/>
    </x:row>
    <x:row r="39">
      <x:c r="A39" s="130"/>
      <x:c r="B39" s="130"/>
      <x:c r="C39" s="130"/>
      <x:c r="D39" s="130"/>
      <x:c r="E39" s="130"/>
      <x:c r="F39" s="130"/>
      <x:c r="G39" s="130"/>
      <x:c r="H39" s="130"/>
      <x:c r="I39" s="130"/>
      <x:c r="J39" s="130"/>
      <x:c r="K39" s="130"/>
      <x:c r="L39" s="130"/>
      <x:c r="M39" s="130"/>
      <x:c r="N39" s="130"/>
      <x:c r="O39" s="130"/>
      <x:c r="P39" s="130"/>
      <x:c r="Q39" s="130"/>
      <x:c r="R39" s="130"/>
      <x:c r="S39" s="130"/>
      <x:c r="T39" s="130"/>
      <x:c r="U39" s="130"/>
      <x:c r="V39" s="130"/>
      <x:c r="W39" s="130"/>
      <x:c r="X39" s="130"/>
      <x:c r="Y39" s="130"/>
      <x:c r="Z39" s="130"/>
      <x:c r="AA39" s="130"/>
      <x:c r="AB39" s="130"/>
      <x:c r="AC39" s="130"/>
      <x:c r="AD39" s="130"/>
      <x:c r="AE39" s="130"/>
      <x:c r="AF39" s="130"/>
      <x:c r="AG39" s="130"/>
      <x:c r="AH39" s="130"/>
      <x:c r="AI39" s="130"/>
      <x:c r="AJ39" s="130"/>
      <x:c r="AK39" s="130"/>
      <x:c r="AL39" s="130"/>
      <x:c r="AM39" s="130"/>
      <x:c r="AN39" s="130"/>
      <x:c r="AO39" s="130"/>
      <x:c r="AP39" s="130"/>
      <x:c r="AQ39" s="130"/>
      <x:c r="AR39" s="130"/>
      <x:c r="AS39" s="130"/>
      <x:c r="AT39" s="130"/>
      <x:c r="AU39" s="130"/>
      <x:c r="AV39" s="130"/>
      <x:c r="AW39" s="130"/>
      <x:c r="AX39" s="130"/>
      <x:c r="AY39" s="130"/>
      <x:c r="AZ39" s="130"/>
    </x:row>
    <x:row r="40">
      <x:c r="A40" s="130"/>
      <x:c r="B40" s="130"/>
      <x:c r="C40" s="130"/>
      <x:c r="D40" s="130"/>
      <x:c r="E40" s="130"/>
      <x:c r="F40" s="130"/>
      <x:c r="G40" s="130"/>
      <x:c r="H40" s="130"/>
      <x:c r="I40" s="130"/>
      <x:c r="J40" s="130"/>
      <x:c r="K40" s="130"/>
      <x:c r="L40" s="130"/>
      <x:c r="M40" s="130"/>
      <x:c r="N40" s="130"/>
      <x:c r="O40" s="130"/>
      <x:c r="P40" s="130"/>
      <x:c r="Q40" s="130"/>
      <x:c r="R40" s="130"/>
      <x:c r="S40" s="130"/>
      <x:c r="T40" s="130"/>
      <x:c r="U40" s="130"/>
      <x:c r="V40" s="130"/>
      <x:c r="W40" s="130"/>
      <x:c r="X40" s="130"/>
      <x:c r="Y40" s="130"/>
      <x:c r="Z40" s="130"/>
      <x:c r="AA40" s="130"/>
      <x:c r="AB40" s="130"/>
      <x:c r="AC40" s="130"/>
      <x:c r="AD40" s="130"/>
      <x:c r="AE40" s="130"/>
      <x:c r="AF40" s="130"/>
      <x:c r="AG40" s="130"/>
      <x:c r="AH40" s="130"/>
      <x:c r="AI40" s="130"/>
      <x:c r="AJ40" s="130"/>
      <x:c r="AK40" s="130"/>
      <x:c r="AL40" s="130"/>
      <x:c r="AM40" s="130"/>
      <x:c r="AN40" s="130"/>
      <x:c r="AO40" s="130"/>
      <x:c r="AP40" s="130"/>
      <x:c r="AQ40" s="130"/>
      <x:c r="AR40" s="130"/>
      <x:c r="AS40" s="130"/>
      <x:c r="AT40" s="130"/>
      <x:c r="AU40" s="130"/>
      <x:c r="AV40" s="130"/>
      <x:c r="AW40" s="130"/>
      <x:c r="AX40" s="130"/>
      <x:c r="AY40" s="130"/>
      <x:c r="AZ40" s="130"/>
    </x:row>
    <x:row r="41">
      <x:c r="A41" s="130"/>
      <x:c r="B41" s="130"/>
      <x:c r="C41" s="130"/>
      <x:c r="D41" s="130"/>
      <x:c r="E41" s="130"/>
      <x:c r="F41" s="130"/>
      <x:c r="G41" s="130"/>
      <x:c r="H41" s="130"/>
      <x:c r="I41" s="130"/>
      <x:c r="J41" s="130"/>
      <x:c r="K41" s="130"/>
      <x:c r="L41" s="130"/>
      <x:c r="M41" s="130"/>
      <x:c r="N41" s="130"/>
      <x:c r="O41" s="130"/>
      <x:c r="P41" s="130"/>
      <x:c r="Q41" s="130"/>
      <x:c r="R41" s="130"/>
      <x:c r="S41" s="130"/>
      <x:c r="T41" s="130"/>
      <x:c r="U41" s="130"/>
      <x:c r="V41" s="130"/>
      <x:c r="W41" s="130"/>
      <x:c r="X41" s="130"/>
      <x:c r="Y41" s="130"/>
      <x:c r="Z41" s="130"/>
      <x:c r="AA41" s="130"/>
      <x:c r="AB41" s="130"/>
      <x:c r="AC41" s="130"/>
      <x:c r="AD41" s="130"/>
      <x:c r="AE41" s="130"/>
      <x:c r="AF41" s="130"/>
      <x:c r="AG41" s="130"/>
      <x:c r="AH41" s="130"/>
      <x:c r="AI41" s="130"/>
      <x:c r="AJ41" s="130"/>
      <x:c r="AK41" s="130"/>
      <x:c r="AL41" s="130"/>
      <x:c r="AM41" s="130"/>
      <x:c r="AN41" s="130"/>
      <x:c r="AO41" s="130"/>
      <x:c r="AP41" s="130"/>
      <x:c r="AQ41" s="130"/>
      <x:c r="AR41" s="130"/>
      <x:c r="AS41" s="130"/>
      <x:c r="AT41" s="130"/>
      <x:c r="AU41" s="130"/>
      <x:c r="AV41" s="130"/>
      <x:c r="AW41" s="130"/>
      <x:c r="AX41" s="130"/>
      <x:c r="AY41" s="130"/>
      <x:c r="AZ41" s="130"/>
    </x:row>
    <x:row r="42">
      <x:c r="A42" s="130"/>
      <x:c r="B42" s="130"/>
      <x:c r="C42" s="130"/>
      <x:c r="D42" s="130"/>
      <x:c r="E42" s="130"/>
      <x:c r="F42" s="130"/>
      <x:c r="G42" s="130"/>
      <x:c r="H42" s="130"/>
      <x:c r="I42" s="130"/>
      <x:c r="J42" s="130"/>
      <x:c r="K42" s="130"/>
      <x:c r="L42" s="130"/>
      <x:c r="M42" s="130"/>
      <x:c r="N42" s="130"/>
      <x:c r="O42" s="130"/>
      <x:c r="P42" s="130"/>
      <x:c r="Q42" s="130"/>
      <x:c r="R42" s="130"/>
      <x:c r="S42" s="130"/>
      <x:c r="T42" s="130"/>
      <x:c r="U42" s="130"/>
      <x:c r="V42" s="130"/>
      <x:c r="W42" s="130"/>
      <x:c r="X42" s="130"/>
      <x:c r="Y42" s="130"/>
      <x:c r="Z42" s="130"/>
      <x:c r="AA42" s="130"/>
      <x:c r="AB42" s="130"/>
      <x:c r="AC42" s="130"/>
      <x:c r="AD42" s="130"/>
      <x:c r="AE42" s="130"/>
      <x:c r="AF42" s="130"/>
      <x:c r="AG42" s="130"/>
      <x:c r="AH42" s="130"/>
      <x:c r="AI42" s="130"/>
      <x:c r="AJ42" s="130"/>
      <x:c r="AK42" s="130"/>
      <x:c r="AL42" s="130"/>
      <x:c r="AM42" s="130"/>
      <x:c r="AN42" s="130"/>
      <x:c r="AO42" s="130"/>
      <x:c r="AP42" s="130"/>
      <x:c r="AQ42" s="130"/>
      <x:c r="AR42" s="130"/>
      <x:c r="AS42" s="130"/>
      <x:c r="AT42" s="130"/>
      <x:c r="AU42" s="130"/>
      <x:c r="AV42" s="130"/>
      <x:c r="AW42" s="130"/>
      <x:c r="AX42" s="130"/>
      <x:c r="AY42" s="130"/>
      <x:c r="AZ42" s="130"/>
    </x:row>
    <x:row r="43">
      <x:c r="A43" s="130"/>
      <x:c r="B43" s="130"/>
      <x:c r="C43" s="130"/>
      <x:c r="D43" s="130"/>
      <x:c r="E43" s="130"/>
      <x:c r="F43" s="130"/>
      <x:c r="G43" s="130"/>
      <x:c r="H43" s="130"/>
      <x:c r="I43" s="130"/>
      <x:c r="J43" s="130"/>
      <x:c r="K43" s="130"/>
      <x:c r="L43" s="130"/>
      <x:c r="M43" s="130"/>
      <x:c r="N43" s="130"/>
      <x:c r="O43" s="130"/>
      <x:c r="P43" s="130"/>
      <x:c r="Q43" s="130"/>
      <x:c r="R43" s="130"/>
      <x:c r="S43" s="130"/>
      <x:c r="T43" s="130"/>
      <x:c r="U43" s="130"/>
      <x:c r="V43" s="130"/>
      <x:c r="W43" s="130"/>
      <x:c r="X43" s="130"/>
      <x:c r="Y43" s="130"/>
      <x:c r="Z43" s="130"/>
      <x:c r="AA43" s="130"/>
      <x:c r="AB43" s="130"/>
      <x:c r="AC43" s="130"/>
      <x:c r="AD43" s="130"/>
      <x:c r="AE43" s="130"/>
      <x:c r="AF43" s="130"/>
      <x:c r="AG43" s="130"/>
      <x:c r="AH43" s="130"/>
      <x:c r="AI43" s="130"/>
      <x:c r="AJ43" s="130"/>
      <x:c r="AK43" s="130"/>
      <x:c r="AL43" s="130"/>
      <x:c r="AM43" s="130"/>
      <x:c r="AN43" s="130"/>
      <x:c r="AO43" s="130"/>
      <x:c r="AP43" s="130"/>
      <x:c r="AQ43" s="130"/>
      <x:c r="AR43" s="130"/>
      <x:c r="AS43" s="130"/>
      <x:c r="AT43" s="130"/>
      <x:c r="AU43" s="130"/>
      <x:c r="AV43" s="130"/>
      <x:c r="AW43" s="130"/>
      <x:c r="AX43" s="130"/>
      <x:c r="AY43" s="130"/>
      <x:c r="AZ43" s="130"/>
    </x:row>
    <x:row r="44">
      <x:c r="A44" s="130"/>
      <x:c r="B44" s="130"/>
      <x:c r="C44" s="130"/>
      <x:c r="D44" s="130"/>
      <x:c r="E44" s="130"/>
      <x:c r="F44" s="130"/>
      <x:c r="G44" s="130"/>
      <x:c r="H44" s="130"/>
      <x:c r="I44" s="130"/>
      <x:c r="J44" s="130"/>
      <x:c r="K44" s="130"/>
      <x:c r="L44" s="130"/>
      <x:c r="M44" s="130"/>
      <x:c r="N44" s="130"/>
      <x:c r="O44" s="130"/>
      <x:c r="P44" s="130"/>
      <x:c r="Q44" s="130"/>
      <x:c r="R44" s="130"/>
      <x:c r="S44" s="130"/>
      <x:c r="T44" s="130"/>
      <x:c r="U44" s="130"/>
      <x:c r="V44" s="130"/>
      <x:c r="W44" s="130"/>
      <x:c r="X44" s="130"/>
      <x:c r="Y44" s="130"/>
      <x:c r="Z44" s="130"/>
      <x:c r="AA44" s="130"/>
      <x:c r="AB44" s="130"/>
      <x:c r="AC44" s="130"/>
      <x:c r="AD44" s="130"/>
      <x:c r="AE44" s="130"/>
      <x:c r="AF44" s="130"/>
      <x:c r="AG44" s="130"/>
      <x:c r="AH44" s="130"/>
      <x:c r="AI44" s="130"/>
      <x:c r="AJ44" s="130"/>
      <x:c r="AK44" s="130"/>
      <x:c r="AL44" s="130"/>
      <x:c r="AM44" s="130"/>
      <x:c r="AN44" s="130"/>
      <x:c r="AO44" s="130"/>
      <x:c r="AP44" s="130"/>
      <x:c r="AQ44" s="130"/>
      <x:c r="AR44" s="130"/>
      <x:c r="AS44" s="130"/>
      <x:c r="AT44" s="130"/>
      <x:c r="AU44" s="130"/>
      <x:c r="AV44" s="130"/>
      <x:c r="AW44" s="130"/>
      <x:c r="AX44" s="130"/>
      <x:c r="AY44" s="130"/>
      <x:c r="AZ44" s="130"/>
    </x:row>
    <x:row r="45">
      <x:c r="A45" s="130"/>
      <x:c r="B45" s="130"/>
      <x:c r="C45" s="130"/>
      <x:c r="D45" s="130"/>
      <x:c r="E45" s="130"/>
      <x:c r="F45" s="130"/>
      <x:c r="G45" s="130"/>
      <x:c r="H45" s="130"/>
      <x:c r="I45" s="130"/>
      <x:c r="J45" s="130"/>
      <x:c r="K45" s="130"/>
      <x:c r="L45" s="130"/>
      <x:c r="M45" s="130"/>
      <x:c r="N45" s="130"/>
      <x:c r="O45" s="130"/>
      <x:c r="P45" s="130"/>
      <x:c r="Q45" s="130"/>
      <x:c r="R45" s="130"/>
      <x:c r="S45" s="130"/>
      <x:c r="T45" s="130"/>
      <x:c r="U45" s="130"/>
      <x:c r="V45" s="130"/>
      <x:c r="W45" s="130"/>
      <x:c r="X45" s="130"/>
      <x:c r="Y45" s="130"/>
      <x:c r="Z45" s="130"/>
      <x:c r="AA45" s="130"/>
      <x:c r="AB45" s="130"/>
      <x:c r="AC45" s="130"/>
      <x:c r="AD45" s="130"/>
      <x:c r="AE45" s="130"/>
      <x:c r="AF45" s="130"/>
      <x:c r="AG45" s="130"/>
      <x:c r="AH45" s="130"/>
      <x:c r="AI45" s="130"/>
      <x:c r="AJ45" s="130"/>
      <x:c r="AK45" s="130"/>
      <x:c r="AL45" s="130"/>
      <x:c r="AM45" s="130"/>
      <x:c r="AN45" s="130"/>
      <x:c r="AO45" s="130"/>
      <x:c r="AP45" s="130"/>
      <x:c r="AQ45" s="130"/>
      <x:c r="AR45" s="130"/>
      <x:c r="AS45" s="130"/>
      <x:c r="AT45" s="130"/>
      <x:c r="AU45" s="130"/>
      <x:c r="AV45" s="130"/>
      <x:c r="AW45" s="130"/>
      <x:c r="AX45" s="130"/>
      <x:c r="AY45" s="130"/>
      <x:c r="AZ45" s="130"/>
    </x:row>
    <x:row r="46">
      <x:c r="A46" s="130"/>
      <x:c r="B46" s="130"/>
      <x:c r="C46" s="130"/>
      <x:c r="D46" s="130"/>
      <x:c r="E46" s="130"/>
      <x:c r="F46" s="130"/>
      <x:c r="G46" s="130"/>
      <x:c r="H46" s="130"/>
      <x:c r="I46" s="130"/>
      <x:c r="J46" s="130"/>
      <x:c r="K46" s="130"/>
      <x:c r="L46" s="130"/>
      <x:c r="M46" s="130"/>
      <x:c r="N46" s="130"/>
      <x:c r="O46" s="130"/>
      <x:c r="P46" s="130"/>
      <x:c r="Q46" s="130"/>
      <x:c r="R46" s="130"/>
      <x:c r="S46" s="130"/>
      <x:c r="T46" s="130"/>
      <x:c r="U46" s="130"/>
      <x:c r="V46" s="130"/>
      <x:c r="W46" s="130"/>
      <x:c r="X46" s="130"/>
      <x:c r="Y46" s="130"/>
      <x:c r="Z46" s="130"/>
      <x:c r="AA46" s="130"/>
      <x:c r="AB46" s="130"/>
      <x:c r="AC46" s="130"/>
      <x:c r="AD46" s="130"/>
      <x:c r="AE46" s="130"/>
      <x:c r="AF46" s="130"/>
      <x:c r="AG46" s="130"/>
      <x:c r="AH46" s="130"/>
      <x:c r="AI46" s="130"/>
      <x:c r="AJ46" s="130"/>
      <x:c r="AK46" s="130"/>
      <x:c r="AL46" s="130"/>
      <x:c r="AM46" s="130"/>
      <x:c r="AN46" s="130"/>
      <x:c r="AO46" s="130"/>
      <x:c r="AP46" s="130"/>
      <x:c r="AQ46" s="130"/>
      <x:c r="AR46" s="130"/>
      <x:c r="AS46" s="130"/>
      <x:c r="AT46" s="130"/>
      <x:c r="AU46" s="130"/>
      <x:c r="AV46" s="130"/>
      <x:c r="AW46" s="130"/>
      <x:c r="AX46" s="130"/>
      <x:c r="AY46" s="130"/>
      <x:c r="AZ46" s="130"/>
    </x:row>
    <x:row r="47">
      <x:c r="A47" s="130"/>
      <x:c r="B47" s="130"/>
      <x:c r="C47" s="130"/>
      <x:c r="D47" s="130"/>
      <x:c r="E47" s="130"/>
      <x:c r="F47" s="130"/>
      <x:c r="G47" s="130"/>
      <x:c r="H47" s="130"/>
      <x:c r="I47" s="130"/>
      <x:c r="J47" s="130"/>
      <x:c r="K47" s="130"/>
      <x:c r="L47" s="130"/>
      <x:c r="M47" s="130"/>
      <x:c r="N47" s="130"/>
      <x:c r="O47" s="130"/>
      <x:c r="P47" s="130"/>
      <x:c r="Q47" s="130"/>
      <x:c r="R47" s="130"/>
      <x:c r="S47" s="130"/>
      <x:c r="T47" s="130"/>
      <x:c r="U47" s="130"/>
      <x:c r="V47" s="130"/>
      <x:c r="W47" s="130"/>
      <x:c r="X47" s="130"/>
      <x:c r="Y47" s="130"/>
      <x:c r="Z47" s="130"/>
      <x:c r="AA47" s="130"/>
      <x:c r="AB47" s="130"/>
      <x:c r="AC47" s="130"/>
      <x:c r="AD47" s="130"/>
      <x:c r="AE47" s="130"/>
      <x:c r="AF47" s="130"/>
      <x:c r="AG47" s="130"/>
      <x:c r="AH47" s="130"/>
      <x:c r="AI47" s="130"/>
      <x:c r="AJ47" s="130"/>
      <x:c r="AK47" s="130"/>
      <x:c r="AL47" s="130"/>
      <x:c r="AM47" s="130"/>
      <x:c r="AN47" s="130"/>
      <x:c r="AO47" s="130"/>
      <x:c r="AP47" s="130"/>
      <x:c r="AQ47" s="130"/>
      <x:c r="AR47" s="130"/>
      <x:c r="AS47" s="130"/>
      <x:c r="AT47" s="130"/>
      <x:c r="AU47" s="130"/>
      <x:c r="AV47" s="130"/>
      <x:c r="AW47" s="130"/>
      <x:c r="AX47" s="130"/>
      <x:c r="AY47" s="130"/>
      <x:c r="AZ47" s="130"/>
    </x:row>
    <x:row r="48">
      <x:c r="A48" s="130"/>
      <x:c r="B48" s="130"/>
      <x:c r="C48" s="130"/>
      <x:c r="D48" s="130"/>
      <x:c r="E48" s="130"/>
      <x:c r="F48" s="130"/>
      <x:c r="G48" s="130"/>
      <x:c r="H48" s="130"/>
      <x:c r="I48" s="130"/>
      <x:c r="J48" s="130"/>
      <x:c r="K48" s="130"/>
      <x:c r="L48" s="130"/>
      <x:c r="M48" s="130"/>
      <x:c r="N48" s="130"/>
      <x:c r="O48" s="130"/>
      <x:c r="P48" s="130"/>
      <x:c r="Q48" s="130"/>
      <x:c r="R48" s="130"/>
      <x:c r="S48" s="130"/>
      <x:c r="T48" s="130"/>
      <x:c r="U48" s="130"/>
      <x:c r="V48" s="130"/>
      <x:c r="W48" s="130"/>
      <x:c r="X48" s="130"/>
      <x:c r="Y48" s="130"/>
      <x:c r="Z48" s="130"/>
      <x:c r="AA48" s="130"/>
      <x:c r="AB48" s="130"/>
      <x:c r="AC48" s="130"/>
      <x:c r="AD48" s="130"/>
      <x:c r="AE48" s="130"/>
      <x:c r="AF48" s="130"/>
      <x:c r="AG48" s="130"/>
      <x:c r="AH48" s="130"/>
      <x:c r="AI48" s="130"/>
      <x:c r="AJ48" s="130"/>
      <x:c r="AK48" s="130"/>
      <x:c r="AL48" s="130"/>
      <x:c r="AM48" s="130"/>
      <x:c r="AN48" s="130"/>
      <x:c r="AO48" s="130"/>
      <x:c r="AP48" s="130"/>
      <x:c r="AQ48" s="130"/>
      <x:c r="AR48" s="130"/>
      <x:c r="AS48" s="130"/>
      <x:c r="AT48" s="130"/>
      <x:c r="AU48" s="130"/>
      <x:c r="AV48" s="130"/>
      <x:c r="AW48" s="130"/>
      <x:c r="AX48" s="130"/>
      <x:c r="AY48" s="130"/>
      <x:c r="AZ48" s="130"/>
    </x:row>
    <x:row r="49">
      <x:c r="A49" s="130"/>
      <x:c r="B49" s="130"/>
      <x:c r="C49" s="130"/>
      <x:c r="D49" s="130"/>
      <x:c r="E49" s="130"/>
      <x:c r="F49" s="130"/>
      <x:c r="G49" s="130"/>
      <x:c r="H49" s="130"/>
      <x:c r="I49" s="130"/>
      <x:c r="J49" s="130"/>
      <x:c r="K49" s="130"/>
      <x:c r="L49" s="130"/>
      <x:c r="M49" s="130"/>
      <x:c r="N49" s="130"/>
      <x:c r="O49" s="130"/>
      <x:c r="P49" s="130"/>
      <x:c r="Q49" s="130"/>
      <x:c r="R49" s="130"/>
      <x:c r="S49" s="130"/>
      <x:c r="T49" s="130"/>
      <x:c r="U49" s="130"/>
      <x:c r="V49" s="130"/>
      <x:c r="W49" s="130"/>
      <x:c r="X49" s="130"/>
      <x:c r="Y49" s="130"/>
      <x:c r="Z49" s="130"/>
      <x:c r="AA49" s="130"/>
      <x:c r="AB49" s="130"/>
      <x:c r="AC49" s="130"/>
      <x:c r="AD49" s="130"/>
      <x:c r="AE49" s="130"/>
      <x:c r="AF49" s="130"/>
      <x:c r="AG49" s="130"/>
      <x:c r="AH49" s="130"/>
      <x:c r="AI49" s="130"/>
      <x:c r="AJ49" s="130"/>
      <x:c r="AK49" s="130"/>
      <x:c r="AL49" s="130"/>
      <x:c r="AM49" s="130"/>
      <x:c r="AN49" s="130"/>
      <x:c r="AO49" s="130"/>
      <x:c r="AP49" s="130"/>
      <x:c r="AQ49" s="130"/>
      <x:c r="AR49" s="130"/>
      <x:c r="AS49" s="130"/>
      <x:c r="AT49" s="130"/>
      <x:c r="AU49" s="130"/>
      <x:c r="AV49" s="130"/>
      <x:c r="AW49" s="130"/>
      <x:c r="AX49" s="130"/>
      <x:c r="AY49" s="130"/>
      <x:c r="AZ49" s="130"/>
    </x:row>
    <x:row r="50">
      <x:c r="A50" s="130"/>
      <x:c r="B50" s="130"/>
      <x:c r="C50" s="130"/>
      <x:c r="D50" s="130"/>
      <x:c r="E50" s="130"/>
      <x:c r="F50" s="130"/>
      <x:c r="G50" s="130"/>
      <x:c r="H50" s="130"/>
      <x:c r="I50" s="130"/>
      <x:c r="J50" s="130"/>
      <x:c r="K50" s="130"/>
      <x:c r="L50" s="130"/>
      <x:c r="M50" s="130"/>
      <x:c r="N50" s="130"/>
      <x:c r="O50" s="130"/>
      <x:c r="P50" s="130"/>
      <x:c r="Q50" s="130"/>
      <x:c r="R50" s="130"/>
      <x:c r="S50" s="130"/>
      <x:c r="T50" s="130"/>
      <x:c r="U50" s="130"/>
      <x:c r="V50" s="130"/>
      <x:c r="W50" s="130"/>
      <x:c r="X50" s="130"/>
      <x:c r="Y50" s="130"/>
      <x:c r="Z50" s="130"/>
      <x:c r="AA50" s="130"/>
      <x:c r="AB50" s="130"/>
      <x:c r="AC50" s="130"/>
      <x:c r="AD50" s="130"/>
      <x:c r="AE50" s="130"/>
      <x:c r="AF50" s="130"/>
      <x:c r="AG50" s="130"/>
      <x:c r="AH50" s="130"/>
      <x:c r="AI50" s="130"/>
      <x:c r="AJ50" s="130"/>
      <x:c r="AK50" s="130"/>
      <x:c r="AL50" s="130"/>
      <x:c r="AM50" s="130"/>
      <x:c r="AN50" s="130"/>
      <x:c r="AO50" s="130"/>
      <x:c r="AP50" s="130"/>
      <x:c r="AQ50" s="130"/>
      <x:c r="AR50" s="130"/>
      <x:c r="AS50" s="130"/>
      <x:c r="AT50" s="130"/>
      <x:c r="AU50" s="130"/>
      <x:c r="AV50" s="130"/>
      <x:c r="AW50" s="130"/>
      <x:c r="AX50" s="130"/>
      <x:c r="AY50" s="130"/>
      <x:c r="AZ50" s="130"/>
    </x:row>
    <x:row r="51">
      <x:c r="A51" s="130"/>
      <x:c r="B51" s="130"/>
      <x:c r="C51" s="130"/>
      <x:c r="D51" s="130"/>
      <x:c r="E51" s="130"/>
      <x:c r="F51" s="130"/>
      <x:c r="G51" s="130"/>
      <x:c r="H51" s="130"/>
      <x:c r="I51" s="130"/>
      <x:c r="J51" s="130"/>
      <x:c r="K51" s="130"/>
      <x:c r="L51" s="130"/>
      <x:c r="M51" s="130"/>
      <x:c r="N51" s="130"/>
      <x:c r="O51" s="130"/>
      <x:c r="P51" s="130"/>
      <x:c r="Q51" s="130"/>
      <x:c r="R51" s="130"/>
      <x:c r="S51" s="130"/>
      <x:c r="T51" s="130"/>
      <x:c r="U51" s="130"/>
      <x:c r="V51" s="130"/>
      <x:c r="W51" s="130"/>
      <x:c r="X51" s="130"/>
      <x:c r="Y51" s="130"/>
      <x:c r="Z51" s="130"/>
      <x:c r="AA51" s="130"/>
      <x:c r="AB51" s="130"/>
      <x:c r="AC51" s="130"/>
      <x:c r="AD51" s="130"/>
      <x:c r="AE51" s="130"/>
      <x:c r="AF51" s="130"/>
      <x:c r="AG51" s="130"/>
      <x:c r="AH51" s="130"/>
      <x:c r="AI51" s="130"/>
      <x:c r="AJ51" s="130"/>
      <x:c r="AK51" s="130"/>
      <x:c r="AL51" s="130"/>
      <x:c r="AM51" s="130"/>
      <x:c r="AN51" s="130"/>
      <x:c r="AO51" s="130"/>
      <x:c r="AP51" s="130"/>
      <x:c r="AQ51" s="130"/>
      <x:c r="AR51" s="130"/>
      <x:c r="AS51" s="130"/>
      <x:c r="AT51" s="130"/>
      <x:c r="AU51" s="130"/>
      <x:c r="AV51" s="130"/>
      <x:c r="AW51" s="130"/>
      <x:c r="AX51" s="130"/>
      <x:c r="AY51" s="130"/>
      <x:c r="AZ51" s="130"/>
    </x:row>
    <x:row r="52">
      <x:c r="A52" s="130"/>
      <x:c r="B52" s="130"/>
      <x:c r="C52" s="130"/>
      <x:c r="D52" s="130"/>
      <x:c r="E52" s="130"/>
      <x:c r="F52" s="130"/>
      <x:c r="G52" s="130"/>
      <x:c r="H52" s="130"/>
      <x:c r="I52" s="130"/>
      <x:c r="J52" s="130"/>
      <x:c r="K52" s="130"/>
      <x:c r="L52" s="130"/>
      <x:c r="M52" s="130"/>
      <x:c r="N52" s="130"/>
      <x:c r="O52" s="130"/>
      <x:c r="P52" s="130"/>
      <x:c r="Q52" s="130"/>
      <x:c r="R52" s="130"/>
      <x:c r="S52" s="130"/>
      <x:c r="T52" s="130"/>
      <x:c r="U52" s="130"/>
      <x:c r="V52" s="130"/>
      <x:c r="W52" s="130"/>
      <x:c r="X52" s="130"/>
      <x:c r="Y52" s="130"/>
      <x:c r="Z52" s="130"/>
      <x:c r="AA52" s="130"/>
      <x:c r="AB52" s="130"/>
      <x:c r="AC52" s="130"/>
      <x:c r="AD52" s="130"/>
      <x:c r="AE52" s="130"/>
      <x:c r="AF52" s="130"/>
      <x:c r="AG52" s="130"/>
      <x:c r="AH52" s="130"/>
      <x:c r="AI52" s="130"/>
      <x:c r="AJ52" s="130"/>
      <x:c r="AK52" s="130"/>
      <x:c r="AL52" s="130"/>
      <x:c r="AM52" s="130"/>
      <x:c r="AN52" s="130"/>
      <x:c r="AO52" s="130"/>
      <x:c r="AP52" s="130"/>
      <x:c r="AQ52" s="130"/>
      <x:c r="AR52" s="130"/>
      <x:c r="AS52" s="130"/>
      <x:c r="AT52" s="130"/>
      <x:c r="AU52" s="130"/>
      <x:c r="AV52" s="130"/>
      <x:c r="AW52" s="130"/>
      <x:c r="AX52" s="130"/>
      <x:c r="AY52" s="130"/>
      <x:c r="AZ52" s="130"/>
    </x:row>
    <x:row r="53">
      <x:c r="A53" s="130"/>
      <x:c r="B53" s="130"/>
      <x:c r="C53" s="130"/>
      <x:c r="D53" s="130"/>
      <x:c r="E53" s="130"/>
      <x:c r="F53" s="130"/>
      <x:c r="G53" s="130"/>
      <x:c r="H53" s="130"/>
      <x:c r="I53" s="130"/>
      <x:c r="J53" s="130"/>
      <x:c r="K53" s="130"/>
      <x:c r="L53" s="130"/>
      <x:c r="M53" s="130"/>
      <x:c r="N53" s="130"/>
      <x:c r="O53" s="130"/>
      <x:c r="P53" s="130"/>
      <x:c r="Q53" s="130"/>
      <x:c r="R53" s="130"/>
      <x:c r="S53" s="130"/>
      <x:c r="T53" s="130"/>
      <x:c r="U53" s="130"/>
      <x:c r="V53" s="130"/>
      <x:c r="W53" s="130"/>
      <x:c r="X53" s="130"/>
      <x:c r="Y53" s="130"/>
      <x:c r="Z53" s="130"/>
      <x:c r="AA53" s="130"/>
      <x:c r="AB53" s="130"/>
      <x:c r="AC53" s="130"/>
      <x:c r="AD53" s="130"/>
      <x:c r="AE53" s="130"/>
      <x:c r="AF53" s="130"/>
      <x:c r="AG53" s="130"/>
      <x:c r="AH53" s="130"/>
      <x:c r="AI53" s="130"/>
      <x:c r="AJ53" s="130"/>
      <x:c r="AK53" s="130"/>
      <x:c r="AL53" s="130"/>
      <x:c r="AM53" s="130"/>
      <x:c r="AN53" s="130"/>
      <x:c r="AO53" s="130"/>
      <x:c r="AP53" s="130"/>
      <x:c r="AQ53" s="130"/>
      <x:c r="AR53" s="130"/>
      <x:c r="AS53" s="130"/>
      <x:c r="AT53" s="130"/>
      <x:c r="AU53" s="130"/>
      <x:c r="AV53" s="130"/>
      <x:c r="AW53" s="130"/>
      <x:c r="AX53" s="130"/>
      <x:c r="AY53" s="130"/>
      <x:c r="AZ53" s="130"/>
    </x:row>
    <x:row r="54">
      <x:c r="A54" s="130"/>
      <x:c r="B54" s="130"/>
      <x:c r="C54" s="130"/>
      <x:c r="D54" s="130"/>
      <x:c r="E54" s="130"/>
      <x:c r="F54" s="130"/>
      <x:c r="G54" s="130"/>
      <x:c r="H54" s="130"/>
      <x:c r="I54" s="130"/>
      <x:c r="J54" s="130"/>
      <x:c r="K54" s="130"/>
      <x:c r="L54" s="130"/>
      <x:c r="M54" s="130"/>
      <x:c r="N54" s="130"/>
      <x:c r="O54" s="130"/>
      <x:c r="P54" s="130"/>
      <x:c r="Q54" s="130"/>
      <x:c r="R54" s="130"/>
      <x:c r="S54" s="130"/>
      <x:c r="T54" s="130"/>
      <x:c r="U54" s="130"/>
      <x:c r="V54" s="130"/>
      <x:c r="W54" s="130"/>
      <x:c r="X54" s="130"/>
      <x:c r="Y54" s="130"/>
      <x:c r="Z54" s="130"/>
      <x:c r="AA54" s="130"/>
      <x:c r="AB54" s="130"/>
      <x:c r="AC54" s="130"/>
      <x:c r="AD54" s="130"/>
      <x:c r="AE54" s="130"/>
      <x:c r="AF54" s="130"/>
      <x:c r="AG54" s="130"/>
      <x:c r="AH54" s="130"/>
      <x:c r="AI54" s="130"/>
      <x:c r="AJ54" s="130"/>
      <x:c r="AK54" s="130"/>
      <x:c r="AL54" s="130"/>
      <x:c r="AM54" s="130"/>
      <x:c r="AN54" s="130"/>
      <x:c r="AO54" s="130"/>
      <x:c r="AP54" s="130"/>
      <x:c r="AQ54" s="130"/>
      <x:c r="AR54" s="130"/>
      <x:c r="AS54" s="130"/>
      <x:c r="AT54" s="130"/>
      <x:c r="AU54" s="130"/>
      <x:c r="AV54" s="130"/>
      <x:c r="AW54" s="130"/>
      <x:c r="AX54" s="130"/>
      <x:c r="AY54" s="130"/>
      <x:c r="AZ54" s="130"/>
    </x:row>
    <x:row r="55">
      <x:c r="A55" s="130"/>
      <x:c r="B55" s="130"/>
      <x:c r="C55" s="130"/>
      <x:c r="D55" s="130"/>
      <x:c r="E55" s="130"/>
      <x:c r="F55" s="130"/>
      <x:c r="G55" s="130"/>
      <x:c r="H55" s="130"/>
      <x:c r="I55" s="130"/>
      <x:c r="J55" s="130"/>
      <x:c r="K55" s="130"/>
      <x:c r="L55" s="130"/>
      <x:c r="M55" s="130"/>
      <x:c r="N55" s="130"/>
      <x:c r="O55" s="130"/>
      <x:c r="P55" s="130"/>
      <x:c r="Q55" s="130"/>
      <x:c r="R55" s="130"/>
      <x:c r="S55" s="130"/>
      <x:c r="T55" s="130"/>
      <x:c r="U55" s="130"/>
      <x:c r="V55" s="130"/>
      <x:c r="W55" s="130"/>
      <x:c r="X55" s="130"/>
      <x:c r="Y55" s="130"/>
      <x:c r="Z55" s="130"/>
      <x:c r="AA55" s="130"/>
      <x:c r="AB55" s="130"/>
      <x:c r="AC55" s="130"/>
      <x:c r="AD55" s="130"/>
      <x:c r="AE55" s="130"/>
      <x:c r="AF55" s="130"/>
      <x:c r="AG55" s="130"/>
      <x:c r="AH55" s="130"/>
      <x:c r="AI55" s="130"/>
      <x:c r="AJ55" s="130"/>
      <x:c r="AK55" s="130"/>
      <x:c r="AL55" s="130"/>
      <x:c r="AM55" s="130"/>
      <x:c r="AN55" s="130"/>
      <x:c r="AO55" s="130"/>
      <x:c r="AP55" s="130"/>
      <x:c r="AQ55" s="130"/>
      <x:c r="AR55" s="130"/>
      <x:c r="AS55" s="130"/>
      <x:c r="AT55" s="130"/>
      <x:c r="AU55" s="130"/>
      <x:c r="AV55" s="130"/>
      <x:c r="AW55" s="130"/>
      <x:c r="AX55" s="130"/>
      <x:c r="AY55" s="130"/>
      <x:c r="AZ55" s="130"/>
    </x:row>
    <x:row r="56">
      <x:c r="A56" s="130"/>
      <x:c r="B56" s="130"/>
      <x:c r="C56" s="130"/>
      <x:c r="D56" s="130"/>
      <x:c r="E56" s="130"/>
      <x:c r="F56" s="130"/>
      <x:c r="G56" s="130"/>
      <x:c r="H56" s="130"/>
      <x:c r="I56" s="130"/>
      <x:c r="J56" s="130"/>
      <x:c r="K56" s="130"/>
      <x:c r="L56" s="130"/>
      <x:c r="M56" s="130"/>
      <x:c r="N56" s="130"/>
      <x:c r="O56" s="130"/>
      <x:c r="P56" s="130"/>
      <x:c r="Q56" s="130"/>
      <x:c r="R56" s="130"/>
      <x:c r="S56" s="130"/>
      <x:c r="T56" s="130"/>
      <x:c r="U56" s="130"/>
      <x:c r="V56" s="130"/>
      <x:c r="W56" s="130"/>
      <x:c r="X56" s="130"/>
      <x:c r="Y56" s="130"/>
      <x:c r="Z56" s="130"/>
      <x:c r="AA56" s="130"/>
      <x:c r="AB56" s="130"/>
      <x:c r="AC56" s="130"/>
      <x:c r="AD56" s="130"/>
      <x:c r="AE56" s="130"/>
      <x:c r="AF56" s="130"/>
      <x:c r="AG56" s="130"/>
      <x:c r="AH56" s="130"/>
      <x:c r="AI56" s="130"/>
      <x:c r="AJ56" s="130"/>
      <x:c r="AK56" s="130"/>
      <x:c r="AL56" s="130"/>
      <x:c r="AM56" s="130"/>
      <x:c r="AN56" s="130"/>
      <x:c r="AO56" s="130"/>
      <x:c r="AP56" s="130"/>
      <x:c r="AQ56" s="130"/>
      <x:c r="AR56" s="130"/>
      <x:c r="AS56" s="130"/>
      <x:c r="AT56" s="130"/>
      <x:c r="AU56" s="130"/>
      <x:c r="AV56" s="130"/>
      <x:c r="AW56" s="130"/>
      <x:c r="AX56" s="130"/>
      <x:c r="AY56" s="130"/>
      <x:c r="AZ56" s="130"/>
    </x:row>
    <x:row r="57">
      <x:c r="A57" s="130"/>
      <x:c r="B57" s="130"/>
      <x:c r="C57" s="130"/>
      <x:c r="D57" s="130"/>
      <x:c r="E57" s="130"/>
      <x:c r="F57" s="130"/>
      <x:c r="G57" s="130"/>
      <x:c r="H57" s="130"/>
      <x:c r="I57" s="130"/>
      <x:c r="J57" s="130"/>
      <x:c r="K57" s="130"/>
      <x:c r="L57" s="130"/>
      <x:c r="M57" s="130"/>
      <x:c r="N57" s="130"/>
      <x:c r="O57" s="130"/>
      <x:c r="P57" s="130"/>
      <x:c r="Q57" s="130"/>
      <x:c r="R57" s="130"/>
      <x:c r="S57" s="130"/>
      <x:c r="T57" s="130"/>
      <x:c r="U57" s="130"/>
      <x:c r="V57" s="130"/>
      <x:c r="W57" s="130"/>
      <x:c r="X57" s="130"/>
      <x:c r="Y57" s="130"/>
      <x:c r="Z57" s="130"/>
      <x:c r="AA57" s="130"/>
      <x:c r="AB57" s="130"/>
      <x:c r="AC57" s="130"/>
      <x:c r="AD57" s="130"/>
      <x:c r="AE57" s="130"/>
      <x:c r="AF57" s="130"/>
      <x:c r="AG57" s="130"/>
      <x:c r="AH57" s="130"/>
      <x:c r="AI57" s="130"/>
      <x:c r="AJ57" s="130"/>
      <x:c r="AK57" s="130"/>
      <x:c r="AL57" s="130"/>
      <x:c r="AM57" s="130"/>
      <x:c r="AN57" s="130"/>
      <x:c r="AO57" s="130"/>
      <x:c r="AP57" s="130"/>
      <x:c r="AQ57" s="130"/>
      <x:c r="AR57" s="130"/>
      <x:c r="AS57" s="130"/>
      <x:c r="AT57" s="130"/>
      <x:c r="AU57" s="130"/>
      <x:c r="AV57" s="130"/>
      <x:c r="AW57" s="130"/>
      <x:c r="AX57" s="130"/>
      <x:c r="AY57" s="130"/>
      <x:c r="AZ57" s="130"/>
    </x:row>
    <x:row r="58">
      <x:c r="A58" s="130"/>
      <x:c r="B58" s="130"/>
      <x:c r="C58" s="130"/>
      <x:c r="D58" s="130"/>
      <x:c r="E58" s="130"/>
      <x:c r="F58" s="130"/>
      <x:c r="G58" s="130"/>
      <x:c r="H58" s="130"/>
      <x:c r="I58" s="130"/>
      <x:c r="J58" s="130"/>
      <x:c r="K58" s="130"/>
      <x:c r="L58" s="130"/>
      <x:c r="M58" s="130"/>
      <x:c r="N58" s="130"/>
      <x:c r="O58" s="130"/>
      <x:c r="P58" s="130"/>
      <x:c r="Q58" s="130"/>
      <x:c r="R58" s="130"/>
      <x:c r="S58" s="130"/>
      <x:c r="T58" s="130"/>
      <x:c r="U58" s="130"/>
      <x:c r="V58" s="130"/>
      <x:c r="W58" s="130"/>
      <x:c r="X58" s="130"/>
      <x:c r="Y58" s="130"/>
      <x:c r="Z58" s="130"/>
      <x:c r="AA58" s="130"/>
      <x:c r="AB58" s="130"/>
      <x:c r="AC58" s="130"/>
      <x:c r="AD58" s="130"/>
      <x:c r="AE58" s="130"/>
      <x:c r="AF58" s="130"/>
      <x:c r="AG58" s="130"/>
      <x:c r="AH58" s="130"/>
      <x:c r="AI58" s="130"/>
      <x:c r="AJ58" s="130"/>
      <x:c r="AK58" s="130"/>
      <x:c r="AL58" s="130"/>
      <x:c r="AM58" s="130"/>
      <x:c r="AN58" s="130"/>
      <x:c r="AO58" s="130"/>
      <x:c r="AP58" s="130"/>
      <x:c r="AQ58" s="130"/>
      <x:c r="AR58" s="130"/>
      <x:c r="AS58" s="130"/>
      <x:c r="AT58" s="130"/>
      <x:c r="AU58" s="130"/>
      <x:c r="AV58" s="130"/>
      <x:c r="AW58" s="130"/>
      <x:c r="AX58" s="130"/>
      <x:c r="AY58" s="130"/>
      <x:c r="AZ58" s="130"/>
    </x:row>
    <x:row r="59">
      <x:c r="A59" s="130"/>
      <x:c r="B59" s="130"/>
      <x:c r="C59" s="130"/>
      <x:c r="D59" s="130"/>
      <x:c r="E59" s="130"/>
      <x:c r="F59" s="130"/>
      <x:c r="G59" s="130"/>
      <x:c r="H59" s="130"/>
      <x:c r="I59" s="130"/>
      <x:c r="J59" s="130"/>
      <x:c r="K59" s="130"/>
      <x:c r="L59" s="130"/>
      <x:c r="M59" s="130"/>
      <x:c r="N59" s="130"/>
      <x:c r="O59" s="130"/>
      <x:c r="P59" s="130"/>
      <x:c r="Q59" s="130"/>
      <x:c r="R59" s="130"/>
      <x:c r="S59" s="130"/>
      <x:c r="T59" s="130"/>
      <x:c r="U59" s="130"/>
      <x:c r="V59" s="130"/>
      <x:c r="W59" s="130"/>
      <x:c r="X59" s="130"/>
      <x:c r="Y59" s="130"/>
      <x:c r="Z59" s="130"/>
      <x:c r="AA59" s="130"/>
      <x:c r="AB59" s="130"/>
      <x:c r="AC59" s="130"/>
      <x:c r="AD59" s="130"/>
      <x:c r="AE59" s="130"/>
      <x:c r="AF59" s="130"/>
      <x:c r="AG59" s="130"/>
      <x:c r="AH59" s="130"/>
      <x:c r="AI59" s="130"/>
      <x:c r="AJ59" s="130"/>
      <x:c r="AK59" s="130"/>
      <x:c r="AL59" s="130"/>
      <x:c r="AM59" s="130"/>
      <x:c r="AN59" s="130"/>
      <x:c r="AO59" s="130"/>
      <x:c r="AP59" s="130"/>
      <x:c r="AQ59" s="130"/>
      <x:c r="AR59" s="130"/>
      <x:c r="AS59" s="130"/>
      <x:c r="AT59" s="130"/>
      <x:c r="AU59" s="130"/>
      <x:c r="AV59" s="130"/>
      <x:c r="AW59" s="130"/>
      <x:c r="AX59" s="130"/>
      <x:c r="AY59" s="130"/>
      <x:c r="AZ59" s="130"/>
    </x:row>
    <x:row r="60">
      <x:c r="A60" s="130"/>
      <x:c r="B60" s="130"/>
      <x:c r="C60" s="130"/>
      <x:c r="D60" s="130"/>
      <x:c r="E60" s="130"/>
      <x:c r="F60" s="130"/>
      <x:c r="G60" s="130"/>
      <x:c r="H60" s="130"/>
      <x:c r="I60" s="130"/>
      <x:c r="J60" s="130"/>
      <x:c r="K60" s="130"/>
      <x:c r="L60" s="130"/>
      <x:c r="M60" s="130"/>
      <x:c r="N60" s="130"/>
      <x:c r="O60" s="130"/>
      <x:c r="P60" s="130"/>
      <x:c r="Q60" s="130"/>
      <x:c r="R60" s="130"/>
      <x:c r="S60" s="130"/>
      <x:c r="T60" s="130"/>
      <x:c r="U60" s="130"/>
      <x:c r="V60" s="130"/>
      <x:c r="W60" s="130"/>
      <x:c r="X60" s="130"/>
      <x:c r="Y60" s="130"/>
      <x:c r="Z60" s="130"/>
      <x:c r="AA60" s="130"/>
      <x:c r="AB60" s="130"/>
      <x:c r="AC60" s="130"/>
      <x:c r="AD60" s="130"/>
      <x:c r="AE60" s="130"/>
      <x:c r="AF60" s="130"/>
      <x:c r="AG60" s="130"/>
      <x:c r="AH60" s="130"/>
      <x:c r="AI60" s="130"/>
      <x:c r="AJ60" s="130"/>
      <x:c r="AK60" s="130"/>
      <x:c r="AL60" s="130"/>
      <x:c r="AM60" s="130"/>
      <x:c r="AN60" s="130"/>
      <x:c r="AO60" s="130"/>
      <x:c r="AP60" s="130"/>
      <x:c r="AQ60" s="130"/>
      <x:c r="AR60" s="130"/>
      <x:c r="AS60" s="130"/>
      <x:c r="AT60" s="130"/>
      <x:c r="AU60" s="130"/>
      <x:c r="AV60" s="130"/>
      <x:c r="AW60" s="130"/>
      <x:c r="AX60" s="130"/>
      <x:c r="AY60" s="130"/>
      <x:c r="AZ60" s="130"/>
    </x:row>
  </x:sheetData>
  <x:mergeCells>
    <x:mergeCell ref="A1:V2"/>
  </x:mergeCells>
  <x:pageMargins left="0.7" right="0.7" top="0.75" bottom="0.75" header="0.3" footer="0.3"/>
  <x:tableParts count="1">
    <x:tablePart xmlns:r="http://schemas.openxmlformats.org/officeDocument/2006/relationships" r:id="R35bd8da24cf342c2"/>
  </x:tableParts>
</x:worksheet>
</file>

<file path=xl/worksheets/sheet4.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18" hidden="0" customWidth="1"/>
    <x:col min="5" max="5" width="18" hidden="0" customWidth="1"/>
    <x:col min="6" max="6" width="18" hidden="0" customWidth="1"/>
    <x:col min="7" max="7" width="42" hidden="0" customWidth="1"/>
    <x:col min="8" max="8" width="42" hidden="0" customWidth="1"/>
  </x:cols>
  <x:sheetData>
    <x:row r="1">
      <x:c r="A1" s="5" t="str">
        <x:v>Carbon factors used in the teaching model</x:v>
      </x:c>
      <x:c r="B1" s="5"/>
      <x:c r="C1" s="5"/>
      <x:c r="D1" s="5"/>
      <x:c r="E1" s="5"/>
      <x:c r="F1" s="5"/>
      <x:c r="G1" s="5"/>
      <x:c r="H1" s="5"/>
      <x:c r="I1" s="130"/>
      <x:c r="J1" s="130"/>
      <x:c r="K1" s="130"/>
      <x:c r="L1" s="130"/>
      <x:c r="M1" s="130"/>
      <x:c r="N1" s="130"/>
      <x:c r="O1" s="130"/>
      <x:c r="P1" s="130"/>
      <x:c r="Q1" s="130"/>
      <x:c r="R1" s="130"/>
      <x:c r="S1" s="130"/>
      <x:c r="T1" s="130"/>
      <x:c r="U1" s="130"/>
      <x:c r="V1" s="130"/>
      <x:c r="W1" s="130"/>
      <x:c r="X1" s="130"/>
      <x:c r="Y1" s="130"/>
      <x:c r="Z1" s="130"/>
      <x:c r="AA1" s="130"/>
      <x:c r="AB1" s="130"/>
      <x:c r="AC1" s="130"/>
      <x:c r="AD1" s="130"/>
      <x:c r="AE1" s="130"/>
      <x:c r="AF1" s="130"/>
      <x:c r="AG1" s="130"/>
      <x:c r="AH1" s="130"/>
      <x:c r="AI1" s="130"/>
      <x:c r="AJ1" s="130"/>
      <x:c r="AK1" s="130"/>
      <x:c r="AL1" s="130"/>
      <x:c r="AM1" s="130"/>
      <x:c r="AN1" s="130"/>
      <x:c r="AO1" s="130"/>
      <x:c r="AP1" s="130"/>
      <x:c r="AQ1" s="130"/>
      <x:c r="AR1" s="130"/>
      <x:c r="AS1" s="130"/>
      <x:c r="AT1" s="130"/>
      <x:c r="AU1" s="130"/>
      <x:c r="AV1" s="130"/>
      <x:c r="AW1" s="130"/>
      <x:c r="AX1" s="130"/>
      <x:c r="AY1" s="130"/>
      <x:c r="AZ1" s="130"/>
    </x:row>
    <x:row r="2">
      <x:c r="A2" s="5"/>
      <x:c r="B2" s="5"/>
      <x:c r="C2" s="5"/>
      <x:c r="D2" s="5"/>
      <x:c r="E2" s="5"/>
      <x:c r="F2" s="5"/>
      <x:c r="G2" s="5"/>
      <x:c r="H2" s="5"/>
      <x:c r="I2" s="130"/>
      <x:c r="J2" s="130"/>
      <x:c r="K2" s="130"/>
      <x:c r="L2" s="130"/>
      <x:c r="M2" s="130"/>
      <x:c r="N2" s="130"/>
      <x:c r="O2" s="130"/>
      <x:c r="P2" s="130"/>
      <x:c r="Q2" s="130"/>
      <x:c r="R2" s="130"/>
      <x:c r="S2" s="130"/>
      <x:c r="T2" s="130"/>
      <x:c r="U2" s="130"/>
      <x:c r="V2" s="130"/>
      <x:c r="W2" s="130"/>
      <x:c r="X2" s="130"/>
      <x:c r="Y2" s="130"/>
      <x:c r="Z2" s="130"/>
      <x:c r="AA2" s="130"/>
      <x:c r="AB2" s="130"/>
      <x:c r="AC2" s="130"/>
      <x:c r="AD2" s="130"/>
      <x:c r="AE2" s="130"/>
      <x:c r="AF2" s="130"/>
      <x:c r="AG2" s="130"/>
      <x:c r="AH2" s="130"/>
      <x:c r="AI2" s="130"/>
      <x:c r="AJ2" s="130"/>
      <x:c r="AK2" s="130"/>
      <x:c r="AL2" s="130"/>
      <x:c r="AM2" s="130"/>
      <x:c r="AN2" s="130"/>
      <x:c r="AO2" s="130"/>
      <x:c r="AP2" s="130"/>
      <x:c r="AQ2" s="130"/>
      <x:c r="AR2" s="130"/>
      <x:c r="AS2" s="130"/>
      <x:c r="AT2" s="130"/>
      <x:c r="AU2" s="130"/>
      <x:c r="AV2" s="130"/>
      <x:c r="AW2" s="130"/>
      <x:c r="AX2" s="130"/>
      <x:c r="AY2" s="130"/>
      <x:c r="AZ2" s="130"/>
    </x:row>
    <x:row r="3">
      <x:c r="A3" s="130"/>
      <x:c r="B3" s="130"/>
      <x:c r="C3" s="130"/>
      <x:c r="D3" s="130"/>
      <x:c r="E3" s="130"/>
      <x:c r="F3" s="130"/>
      <x:c r="G3" s="130"/>
      <x:c r="H3" s="130"/>
      <x:c r="I3" s="130"/>
      <x:c r="J3" s="130"/>
      <x:c r="K3" s="130"/>
      <x:c r="L3" s="130"/>
      <x:c r="M3" s="130"/>
      <x:c r="N3" s="130"/>
      <x:c r="O3" s="130"/>
      <x:c r="P3" s="130"/>
      <x:c r="Q3" s="130"/>
      <x:c r="R3" s="130"/>
      <x:c r="S3" s="130"/>
      <x:c r="T3" s="130"/>
      <x:c r="U3" s="130"/>
      <x:c r="V3" s="130"/>
      <x:c r="W3" s="130"/>
      <x:c r="X3" s="130"/>
      <x:c r="Y3" s="130"/>
      <x:c r="Z3" s="130"/>
      <x:c r="AA3" s="130"/>
      <x:c r="AB3" s="130"/>
      <x:c r="AC3" s="130"/>
      <x:c r="AD3" s="130"/>
      <x:c r="AE3" s="130"/>
      <x:c r="AF3" s="130"/>
      <x:c r="AG3" s="130"/>
      <x:c r="AH3" s="130"/>
      <x:c r="AI3" s="130"/>
      <x:c r="AJ3" s="130"/>
      <x:c r="AK3" s="130"/>
      <x:c r="AL3" s="130"/>
      <x:c r="AM3" s="130"/>
      <x:c r="AN3" s="130"/>
      <x:c r="AO3" s="130"/>
      <x:c r="AP3" s="130"/>
      <x:c r="AQ3" s="130"/>
      <x:c r="AR3" s="130"/>
      <x:c r="AS3" s="130"/>
      <x:c r="AT3" s="130"/>
      <x:c r="AU3" s="130"/>
      <x:c r="AV3" s="130"/>
      <x:c r="AW3" s="130"/>
      <x:c r="AX3" s="130"/>
      <x:c r="AY3" s="130"/>
      <x:c r="AZ3" s="130"/>
    </x:row>
    <x:row r="4">
      <x:c r="A4" s="32" t="str">
        <x:v>Factor_ID</x:v>
      </x:c>
      <x:c r="B4" s="32" t="str">
        <x:v>Factor_Name</x:v>
      </x:c>
      <x:c r="C4" s="32" t="str">
        <x:v>Value</x:v>
      </x:c>
      <x:c r="D4" s="32" t="str">
        <x:v>Unit</x:v>
      </x:c>
      <x:c r="E4" s="32" t="str">
        <x:v>Boundary</x:v>
      </x:c>
      <x:c r="F4" s="32" t="str">
        <x:v>Data_Quality</x:v>
      </x:c>
      <x:c r="G4" s="32" t="str">
        <x:v>Primary_Source_URL</x:v>
      </x:c>
      <x:c r="H4" s="32" t="str">
        <x:v>Verification_Note</x:v>
      </x:c>
      <x:c r="I4" s="130"/>
      <x:c r="J4" s="130"/>
      <x:c r="K4" s="130"/>
      <x:c r="L4" s="130"/>
      <x:c r="M4" s="130"/>
      <x:c r="N4" s="130"/>
      <x:c r="O4" s="130"/>
      <x:c r="P4" s="130"/>
      <x:c r="Q4" s="130"/>
      <x:c r="R4" s="130"/>
      <x:c r="S4" s="130"/>
      <x:c r="T4" s="130"/>
      <x:c r="U4" s="130"/>
      <x:c r="V4" s="130"/>
      <x:c r="W4" s="130"/>
      <x:c r="X4" s="130"/>
      <x:c r="Y4" s="130"/>
      <x:c r="Z4" s="130"/>
      <x:c r="AA4" s="130"/>
      <x:c r="AB4" s="130"/>
      <x:c r="AC4" s="130"/>
      <x:c r="AD4" s="130"/>
      <x:c r="AE4" s="130"/>
      <x:c r="AF4" s="130"/>
      <x:c r="AG4" s="130"/>
      <x:c r="AH4" s="130"/>
      <x:c r="AI4" s="130"/>
      <x:c r="AJ4" s="130"/>
      <x:c r="AK4" s="130"/>
      <x:c r="AL4" s="130"/>
      <x:c r="AM4" s="130"/>
      <x:c r="AN4" s="130"/>
      <x:c r="AO4" s="130"/>
      <x:c r="AP4" s="130"/>
      <x:c r="AQ4" s="130"/>
      <x:c r="AR4" s="130"/>
      <x:c r="AS4" s="130"/>
      <x:c r="AT4" s="130"/>
      <x:c r="AU4" s="130"/>
      <x:c r="AV4" s="130"/>
      <x:c r="AW4" s="130"/>
      <x:c r="AX4" s="130"/>
      <x:c r="AY4" s="130"/>
      <x:c r="AZ4" s="130"/>
    </x:row>
    <x:row r="5">
      <x:c r="A5" s="131" t="str">
        <x:v>EF1</x:v>
      </x:c>
      <x:c r="B5" s="131" t="str">
        <x:v>Diesel, average biofuel blend</x:v>
      </x:c>
      <x:c r="C5" s="143" t="n">
        <x:v>2.58354</x:v>
      </x:c>
      <x:c r="D5" s="131" t="str">
        <x:v>kgCO2e/litre</x:v>
      </x:c>
      <x:c r="E5" s="131" t="str">
        <x:v>Scope 1 combustion</x:v>
      </x:c>
      <x:c r="F5" s="131" t="str">
        <x:v>Official 2026 UK factor</x:v>
      </x:c>
      <x:c r="G5" s="131" t="str">
        <x:v>https://www.gov.uk/government/publications/greenhouse-gas-reporting-conversion-factors-2026</x:v>
      </x:c>
      <x:c r="H5" s="131" t="str">
        <x:v>Exact value should be checked against the official 2026 flat file before final publication.</x:v>
      </x:c>
      <x:c r="I5" s="130"/>
      <x:c r="J5" s="130"/>
      <x:c r="K5" s="130"/>
      <x:c r="L5" s="130"/>
      <x:c r="M5" s="130"/>
      <x:c r="N5" s="130"/>
      <x:c r="O5" s="130"/>
      <x:c r="P5" s="130"/>
      <x:c r="Q5" s="130"/>
      <x:c r="R5" s="130"/>
      <x:c r="S5" s="130"/>
      <x:c r="T5" s="130"/>
      <x:c r="U5" s="130"/>
      <x:c r="V5" s="130"/>
      <x:c r="W5" s="130"/>
      <x:c r="X5" s="130"/>
      <x:c r="Y5" s="130"/>
      <x:c r="Z5" s="130"/>
      <x:c r="AA5" s="130"/>
      <x:c r="AB5" s="130"/>
      <x:c r="AC5" s="130"/>
      <x:c r="AD5" s="130"/>
      <x:c r="AE5" s="130"/>
      <x:c r="AF5" s="130"/>
      <x:c r="AG5" s="130"/>
      <x:c r="AH5" s="130"/>
      <x:c r="AI5" s="130"/>
      <x:c r="AJ5" s="130"/>
      <x:c r="AK5" s="130"/>
      <x:c r="AL5" s="130"/>
      <x:c r="AM5" s="130"/>
      <x:c r="AN5" s="130"/>
      <x:c r="AO5" s="130"/>
      <x:c r="AP5" s="130"/>
      <x:c r="AQ5" s="130"/>
      <x:c r="AR5" s="130"/>
      <x:c r="AS5" s="130"/>
      <x:c r="AT5" s="130"/>
      <x:c r="AU5" s="130"/>
      <x:c r="AV5" s="130"/>
      <x:c r="AW5" s="130"/>
      <x:c r="AX5" s="130"/>
      <x:c r="AY5" s="130"/>
      <x:c r="AZ5" s="130"/>
    </x:row>
    <x:row r="6">
      <x:c r="A6" s="131" t="str">
        <x:v>EF2</x:v>
      </x:c>
      <x:c r="B6" s="131" t="str">
        <x:v>Diesel well-to-tank</x:v>
      </x:c>
      <x:c r="C6" s="143" t="n">
        <x:v>0.61101</x:v>
      </x:c>
      <x:c r="D6" s="131" t="str">
        <x:v>kgCO2e/litre</x:v>
      </x:c>
      <x:c r="E6" s="131" t="str">
        <x:v>Scope 3 upstream energy</x:v>
      </x:c>
      <x:c r="F6" s="131" t="str">
        <x:v>2026 factor transcribed from a searchable mirror</x:v>
      </x:c>
      <x:c r="G6" s="131" t="str">
        <x:v>https://www.gov.uk/government/publications/greenhouse-gas-reporting-conversion-factors-2026</x:v>
      </x:c>
      <x:c r="H6" s="131" t="str">
        <x:v>Optional expanded boundary; not included in the main operational KPI.</x:v>
      </x:c>
      <x:c r="I6" s="130"/>
      <x:c r="J6" s="130"/>
      <x:c r="K6" s="130"/>
      <x:c r="L6" s="130"/>
      <x:c r="M6" s="130"/>
      <x:c r="N6" s="130"/>
      <x:c r="O6" s="130"/>
      <x:c r="P6" s="130"/>
      <x:c r="Q6" s="130"/>
      <x:c r="R6" s="130"/>
      <x:c r="S6" s="130"/>
      <x:c r="T6" s="130"/>
      <x:c r="U6" s="130"/>
      <x:c r="V6" s="130"/>
      <x:c r="W6" s="130"/>
      <x:c r="X6" s="130"/>
      <x:c r="Y6" s="130"/>
      <x:c r="Z6" s="130"/>
      <x:c r="AA6" s="130"/>
      <x:c r="AB6" s="130"/>
      <x:c r="AC6" s="130"/>
      <x:c r="AD6" s="130"/>
      <x:c r="AE6" s="130"/>
      <x:c r="AF6" s="130"/>
      <x:c r="AG6" s="130"/>
      <x:c r="AH6" s="130"/>
      <x:c r="AI6" s="130"/>
      <x:c r="AJ6" s="130"/>
      <x:c r="AK6" s="130"/>
      <x:c r="AL6" s="130"/>
      <x:c r="AM6" s="130"/>
      <x:c r="AN6" s="130"/>
      <x:c r="AO6" s="130"/>
      <x:c r="AP6" s="130"/>
      <x:c r="AQ6" s="130"/>
      <x:c r="AR6" s="130"/>
      <x:c r="AS6" s="130"/>
      <x:c r="AT6" s="130"/>
      <x:c r="AU6" s="130"/>
      <x:c r="AV6" s="130"/>
      <x:c r="AW6" s="130"/>
      <x:c r="AX6" s="130"/>
      <x:c r="AY6" s="130"/>
      <x:c r="AZ6" s="130"/>
    </x:row>
    <x:row r="7">
      <x:c r="A7" s="131" t="str">
        <x:v>EF3</x:v>
      </x:c>
      <x:c r="B7" s="131" t="str">
        <x:v>UK grid electricity generation</x:v>
      </x:c>
      <x:c r="C7" s="143" t="n">
        <x:v>0.13096</x:v>
      </x:c>
      <x:c r="D7" s="131" t="str">
        <x:v>kgCO2e/kWh</x:v>
      </x:c>
      <x:c r="E7" s="131" t="str">
        <x:v>Scope 2 location-based</x:v>
      </x:c>
      <x:c r="F7" s="131" t="str">
        <x:v>Official 2026 UK factor</x:v>
      </x:c>
      <x:c r="G7" s="131" t="str">
        <x:v>https://www.gov.uk/government/publications/greenhouse-gas-reporting-conversion-factors-2026</x:v>
      </x:c>
      <x:c r="H7" s="131" t="str">
        <x:v>Main electricity factor used in the operational KPI.</x:v>
      </x:c>
      <x:c r="I7" s="130"/>
      <x:c r="J7" s="130"/>
      <x:c r="K7" s="130"/>
      <x:c r="L7" s="130"/>
      <x:c r="M7" s="130"/>
      <x:c r="N7" s="130"/>
      <x:c r="O7" s="130"/>
      <x:c r="P7" s="130"/>
      <x:c r="Q7" s="130"/>
      <x:c r="R7" s="130"/>
      <x:c r="S7" s="130"/>
      <x:c r="T7" s="130"/>
      <x:c r="U7" s="130"/>
      <x:c r="V7" s="130"/>
      <x:c r="W7" s="130"/>
      <x:c r="X7" s="130"/>
      <x:c r="Y7" s="130"/>
      <x:c r="Z7" s="130"/>
      <x:c r="AA7" s="130"/>
      <x:c r="AB7" s="130"/>
      <x:c r="AC7" s="130"/>
      <x:c r="AD7" s="130"/>
      <x:c r="AE7" s="130"/>
      <x:c r="AF7" s="130"/>
      <x:c r="AG7" s="130"/>
      <x:c r="AH7" s="130"/>
      <x:c r="AI7" s="130"/>
      <x:c r="AJ7" s="130"/>
      <x:c r="AK7" s="130"/>
      <x:c r="AL7" s="130"/>
      <x:c r="AM7" s="130"/>
      <x:c r="AN7" s="130"/>
      <x:c r="AO7" s="130"/>
      <x:c r="AP7" s="130"/>
      <x:c r="AQ7" s="130"/>
      <x:c r="AR7" s="130"/>
      <x:c r="AS7" s="130"/>
      <x:c r="AT7" s="130"/>
      <x:c r="AU7" s="130"/>
      <x:c r="AV7" s="130"/>
      <x:c r="AW7" s="130"/>
      <x:c r="AX7" s="130"/>
      <x:c r="AY7" s="130"/>
      <x:c r="AZ7" s="130"/>
    </x:row>
    <x:row r="8">
      <x:c r="A8" s="131" t="str">
        <x:v>EF4</x:v>
      </x:c>
      <x:c r="B8" s="131" t="str">
        <x:v>Electricity transmission and distribution</x:v>
      </x:c>
      <x:c r="C8" s="143" t="n">
        <x:v>0.01299</x:v>
      </x:c>
      <x:c r="D8" s="131" t="str">
        <x:v>kgCO2e/kWh</x:v>
      </x:c>
      <x:c r="E8" s="131" t="str">
        <x:v>Scope 3 T&amp;D</x:v>
      </x:c>
      <x:c r="F8" s="131" t="str">
        <x:v>2026 factor transcribed from a searchable mirror</x:v>
      </x:c>
      <x:c r="G8" s="131" t="str">
        <x:v>https://www.gov.uk/government/publications/greenhouse-gas-reporting-conversion-factors-2026</x:v>
      </x:c>
      <x:c r="H8" s="131" t="str">
        <x:v>Optional expanded boundary.</x:v>
      </x:c>
      <x:c r="I8" s="130"/>
      <x:c r="J8" s="130"/>
      <x:c r="K8" s="130"/>
      <x:c r="L8" s="130"/>
      <x:c r="M8" s="130"/>
      <x:c r="N8" s="130"/>
      <x:c r="O8" s="130"/>
      <x:c r="P8" s="130"/>
      <x:c r="Q8" s="130"/>
      <x:c r="R8" s="130"/>
      <x:c r="S8" s="130"/>
      <x:c r="T8" s="130"/>
      <x:c r="U8" s="130"/>
      <x:c r="V8" s="130"/>
      <x:c r="W8" s="130"/>
      <x:c r="X8" s="130"/>
      <x:c r="Y8" s="130"/>
      <x:c r="Z8" s="130"/>
      <x:c r="AA8" s="130"/>
      <x:c r="AB8" s="130"/>
      <x:c r="AC8" s="130"/>
      <x:c r="AD8" s="130"/>
      <x:c r="AE8" s="130"/>
      <x:c r="AF8" s="130"/>
      <x:c r="AG8" s="130"/>
      <x:c r="AH8" s="130"/>
      <x:c r="AI8" s="130"/>
      <x:c r="AJ8" s="130"/>
      <x:c r="AK8" s="130"/>
      <x:c r="AL8" s="130"/>
      <x:c r="AM8" s="130"/>
      <x:c r="AN8" s="130"/>
      <x:c r="AO8" s="130"/>
      <x:c r="AP8" s="130"/>
      <x:c r="AQ8" s="130"/>
      <x:c r="AR8" s="130"/>
      <x:c r="AS8" s="130"/>
      <x:c r="AT8" s="130"/>
      <x:c r="AU8" s="130"/>
      <x:c r="AV8" s="130"/>
      <x:c r="AW8" s="130"/>
      <x:c r="AX8" s="130"/>
      <x:c r="AY8" s="130"/>
      <x:c r="AZ8" s="130"/>
    </x:row>
    <x:row r="9">
      <x:c r="A9" s="131" t="str">
        <x:v>EF5</x:v>
      </x:c>
      <x:c r="B9" s="131" t="str">
        <x:v>Electricity well-to-tank generation</x:v>
      </x:c>
      <x:c r="C9" s="143" t="n">
        <x:v>0.03682</x:v>
      </x:c>
      <x:c r="D9" s="131" t="str">
        <x:v>kgCO2e/kWh</x:v>
      </x:c>
      <x:c r="E9" s="131" t="str">
        <x:v>Scope 3 upstream energy</x:v>
      </x:c>
      <x:c r="F9" s="131" t="str">
        <x:v>2026 factor transcribed from a searchable mirror</x:v>
      </x:c>
      <x:c r="G9" s="131" t="str">
        <x:v>https://www.gov.uk/government/publications/greenhouse-gas-reporting-conversion-factors-2026</x:v>
      </x:c>
      <x:c r="H9" s="131" t="str">
        <x:v>Optional expanded boundary.</x:v>
      </x:c>
      <x:c r="I9" s="130"/>
      <x:c r="J9" s="130"/>
      <x:c r="K9" s="130"/>
      <x:c r="L9" s="130"/>
      <x:c r="M9" s="130"/>
      <x:c r="N9" s="130"/>
      <x:c r="O9" s="130"/>
      <x:c r="P9" s="130"/>
      <x:c r="Q9" s="130"/>
      <x:c r="R9" s="130"/>
      <x:c r="S9" s="130"/>
      <x:c r="T9" s="130"/>
      <x:c r="U9" s="130"/>
      <x:c r="V9" s="130"/>
      <x:c r="W9" s="130"/>
      <x:c r="X9" s="130"/>
      <x:c r="Y9" s="130"/>
      <x:c r="Z9" s="130"/>
      <x:c r="AA9" s="130"/>
      <x:c r="AB9" s="130"/>
      <x:c r="AC9" s="130"/>
      <x:c r="AD9" s="130"/>
      <x:c r="AE9" s="130"/>
      <x:c r="AF9" s="130"/>
      <x:c r="AG9" s="130"/>
      <x:c r="AH9" s="130"/>
      <x:c r="AI9" s="130"/>
      <x:c r="AJ9" s="130"/>
      <x:c r="AK9" s="130"/>
      <x:c r="AL9" s="130"/>
      <x:c r="AM9" s="130"/>
      <x:c r="AN9" s="130"/>
      <x:c r="AO9" s="130"/>
      <x:c r="AP9" s="130"/>
      <x:c r="AQ9" s="130"/>
      <x:c r="AR9" s="130"/>
      <x:c r="AS9" s="130"/>
      <x:c r="AT9" s="130"/>
      <x:c r="AU9" s="130"/>
      <x:c r="AV9" s="130"/>
      <x:c r="AW9" s="130"/>
      <x:c r="AX9" s="130"/>
      <x:c r="AY9" s="130"/>
      <x:c r="AZ9" s="130"/>
    </x:row>
    <x:row r="10">
      <x:c r="A10" s="130"/>
      <x:c r="B10" s="130"/>
      <x:c r="C10" s="130"/>
      <x:c r="D10" s="130"/>
      <x:c r="E10" s="130"/>
      <x:c r="F10" s="130"/>
      <x:c r="G10" s="130"/>
      <x:c r="H10" s="130"/>
      <x:c r="I10" s="130"/>
      <x:c r="J10" s="130"/>
      <x:c r="K10" s="130"/>
      <x:c r="L10" s="130"/>
      <x:c r="M10" s="130"/>
      <x:c r="N10" s="130"/>
      <x:c r="O10" s="130"/>
      <x:c r="P10" s="130"/>
      <x:c r="Q10" s="130"/>
      <x:c r="R10" s="130"/>
      <x:c r="S10" s="130"/>
      <x:c r="T10" s="130"/>
      <x:c r="U10" s="130"/>
      <x:c r="V10" s="130"/>
      <x:c r="W10" s="130"/>
      <x:c r="X10" s="130"/>
      <x:c r="Y10" s="130"/>
      <x:c r="Z10" s="130"/>
      <x:c r="AA10" s="130"/>
      <x:c r="AB10" s="130"/>
      <x:c r="AC10" s="130"/>
      <x:c r="AD10" s="130"/>
      <x:c r="AE10" s="130"/>
      <x:c r="AF10" s="130"/>
      <x:c r="AG10" s="130"/>
      <x:c r="AH10" s="130"/>
      <x:c r="AI10" s="130"/>
      <x:c r="AJ10" s="130"/>
      <x:c r="AK10" s="130"/>
      <x:c r="AL10" s="130"/>
      <x:c r="AM10" s="130"/>
      <x:c r="AN10" s="130"/>
      <x:c r="AO10" s="130"/>
      <x:c r="AP10" s="130"/>
      <x:c r="AQ10" s="130"/>
      <x:c r="AR10" s="130"/>
      <x:c r="AS10" s="130"/>
      <x:c r="AT10" s="130"/>
      <x:c r="AU10" s="130"/>
      <x:c r="AV10" s="130"/>
      <x:c r="AW10" s="130"/>
      <x:c r="AX10" s="130"/>
      <x:c r="AY10" s="130"/>
      <x:c r="AZ10" s="130"/>
    </x:row>
    <x:row r="11">
      <x:c r="A11" s="130"/>
      <x:c r="B11" s="130"/>
      <x:c r="C11" s="130"/>
      <x:c r="D11" s="130"/>
      <x:c r="E11" s="130"/>
      <x:c r="F11" s="130"/>
      <x:c r="G11" s="130"/>
      <x:c r="H11" s="130"/>
      <x:c r="I11" s="130"/>
      <x:c r="J11" s="130"/>
      <x:c r="K11" s="130"/>
      <x:c r="L11" s="130"/>
      <x:c r="M11" s="130"/>
      <x:c r="N11" s="130"/>
      <x:c r="O11" s="130"/>
      <x:c r="P11" s="130"/>
      <x:c r="Q11" s="130"/>
      <x:c r="R11" s="130"/>
      <x:c r="S11" s="130"/>
      <x:c r="T11" s="130"/>
      <x:c r="U11" s="130"/>
      <x:c r="V11" s="130"/>
      <x:c r="W11" s="130"/>
      <x:c r="X11" s="130"/>
      <x:c r="Y11" s="130"/>
      <x:c r="Z11" s="130"/>
      <x:c r="AA11" s="130"/>
      <x:c r="AB11" s="130"/>
      <x:c r="AC11" s="130"/>
      <x:c r="AD11" s="130"/>
      <x:c r="AE11" s="130"/>
      <x:c r="AF11" s="130"/>
      <x:c r="AG11" s="130"/>
      <x:c r="AH11" s="130"/>
      <x:c r="AI11" s="130"/>
      <x:c r="AJ11" s="130"/>
      <x:c r="AK11" s="130"/>
      <x:c r="AL11" s="130"/>
      <x:c r="AM11" s="130"/>
      <x:c r="AN11" s="130"/>
      <x:c r="AO11" s="130"/>
      <x:c r="AP11" s="130"/>
      <x:c r="AQ11" s="130"/>
      <x:c r="AR11" s="130"/>
      <x:c r="AS11" s="130"/>
      <x:c r="AT11" s="130"/>
      <x:c r="AU11" s="130"/>
      <x:c r="AV11" s="130"/>
      <x:c r="AW11" s="130"/>
      <x:c r="AX11" s="130"/>
      <x:c r="AY11" s="130"/>
      <x:c r="AZ11" s="130"/>
    </x:row>
    <x:row r="12">
      <x:c r="A12" s="130"/>
      <x:c r="B12" s="130"/>
      <x:c r="C12" s="130"/>
      <x:c r="D12" s="130"/>
      <x:c r="E12" s="130"/>
      <x:c r="F12" s="130"/>
      <x:c r="G12" s="130"/>
      <x:c r="H12" s="130"/>
      <x:c r="I12" s="130"/>
      <x:c r="J12" s="130"/>
      <x:c r="K12" s="130"/>
      <x:c r="L12" s="130"/>
      <x:c r="M12" s="130"/>
      <x:c r="N12" s="130"/>
      <x:c r="O12" s="130"/>
      <x:c r="P12" s="130"/>
      <x:c r="Q12" s="130"/>
      <x:c r="R12" s="130"/>
      <x:c r="S12" s="130"/>
      <x:c r="T12" s="130"/>
      <x:c r="U12" s="130"/>
      <x:c r="V12" s="130"/>
      <x:c r="W12" s="130"/>
      <x:c r="X12" s="130"/>
      <x:c r="Y12" s="130"/>
      <x:c r="Z12" s="130"/>
      <x:c r="AA12" s="130"/>
      <x:c r="AB12" s="130"/>
      <x:c r="AC12" s="130"/>
      <x:c r="AD12" s="130"/>
      <x:c r="AE12" s="130"/>
      <x:c r="AF12" s="130"/>
      <x:c r="AG12" s="130"/>
      <x:c r="AH12" s="130"/>
      <x:c r="AI12" s="130"/>
      <x:c r="AJ12" s="130"/>
      <x:c r="AK12" s="130"/>
      <x:c r="AL12" s="130"/>
      <x:c r="AM12" s="130"/>
      <x:c r="AN12" s="130"/>
      <x:c r="AO12" s="130"/>
      <x:c r="AP12" s="130"/>
      <x:c r="AQ12" s="130"/>
      <x:c r="AR12" s="130"/>
      <x:c r="AS12" s="130"/>
      <x:c r="AT12" s="130"/>
      <x:c r="AU12" s="130"/>
      <x:c r="AV12" s="130"/>
      <x:c r="AW12" s="130"/>
      <x:c r="AX12" s="130"/>
      <x:c r="AY12" s="130"/>
      <x:c r="AZ12" s="130"/>
    </x:row>
    <x:row r="13">
      <x:c r="A13" s="130"/>
      <x:c r="B13" s="130"/>
      <x:c r="C13" s="130"/>
      <x:c r="D13" s="130"/>
      <x:c r="E13" s="130"/>
      <x:c r="F13" s="130"/>
      <x:c r="G13" s="130"/>
      <x:c r="H13" s="130"/>
      <x:c r="I13" s="130"/>
      <x:c r="J13" s="130"/>
      <x:c r="K13" s="130"/>
      <x:c r="L13" s="130"/>
      <x:c r="M13" s="130"/>
      <x:c r="N13" s="130"/>
      <x:c r="O13" s="130"/>
      <x:c r="P13" s="130"/>
      <x:c r="Q13" s="130"/>
      <x:c r="R13" s="130"/>
      <x:c r="S13" s="130"/>
      <x:c r="T13" s="130"/>
      <x:c r="U13" s="130"/>
      <x:c r="V13" s="130"/>
      <x:c r="W13" s="130"/>
      <x:c r="X13" s="130"/>
      <x:c r="Y13" s="130"/>
      <x:c r="Z13" s="130"/>
      <x:c r="AA13" s="130"/>
      <x:c r="AB13" s="130"/>
      <x:c r="AC13" s="130"/>
      <x:c r="AD13" s="130"/>
      <x:c r="AE13" s="130"/>
      <x:c r="AF13" s="130"/>
      <x:c r="AG13" s="130"/>
      <x:c r="AH13" s="130"/>
      <x:c r="AI13" s="130"/>
      <x:c r="AJ13" s="130"/>
      <x:c r="AK13" s="130"/>
      <x:c r="AL13" s="130"/>
      <x:c r="AM13" s="130"/>
      <x:c r="AN13" s="130"/>
      <x:c r="AO13" s="130"/>
      <x:c r="AP13" s="130"/>
      <x:c r="AQ13" s="130"/>
      <x:c r="AR13" s="130"/>
      <x:c r="AS13" s="130"/>
      <x:c r="AT13" s="130"/>
      <x:c r="AU13" s="130"/>
      <x:c r="AV13" s="130"/>
      <x:c r="AW13" s="130"/>
      <x:c r="AX13" s="130"/>
      <x:c r="AY13" s="130"/>
      <x:c r="AZ13" s="130"/>
    </x:row>
    <x:row r="14">
      <x:c r="A14" s="130"/>
      <x:c r="B14" s="130"/>
      <x:c r="C14" s="130"/>
      <x:c r="D14" s="130"/>
      <x:c r="E14" s="130"/>
      <x:c r="F14" s="130"/>
      <x:c r="G14" s="130"/>
      <x:c r="H14" s="130"/>
      <x:c r="I14" s="130"/>
      <x:c r="J14" s="130"/>
      <x:c r="K14" s="130"/>
      <x:c r="L14" s="130"/>
      <x:c r="M14" s="130"/>
      <x:c r="N14" s="130"/>
      <x:c r="O14" s="130"/>
      <x:c r="P14" s="130"/>
      <x:c r="Q14" s="130"/>
      <x:c r="R14" s="130"/>
      <x:c r="S14" s="130"/>
      <x:c r="T14" s="130"/>
      <x:c r="U14" s="130"/>
      <x:c r="V14" s="130"/>
      <x:c r="W14" s="130"/>
      <x:c r="X14" s="130"/>
      <x:c r="Y14" s="130"/>
      <x:c r="Z14" s="130"/>
      <x:c r="AA14" s="130"/>
      <x:c r="AB14" s="130"/>
      <x:c r="AC14" s="130"/>
      <x:c r="AD14" s="130"/>
      <x:c r="AE14" s="130"/>
      <x:c r="AF14" s="130"/>
      <x:c r="AG14" s="130"/>
      <x:c r="AH14" s="130"/>
      <x:c r="AI14" s="130"/>
      <x:c r="AJ14" s="130"/>
      <x:c r="AK14" s="130"/>
      <x:c r="AL14" s="130"/>
      <x:c r="AM14" s="130"/>
      <x:c r="AN14" s="130"/>
      <x:c r="AO14" s="130"/>
      <x:c r="AP14" s="130"/>
      <x:c r="AQ14" s="130"/>
      <x:c r="AR14" s="130"/>
      <x:c r="AS14" s="130"/>
      <x:c r="AT14" s="130"/>
      <x:c r="AU14" s="130"/>
      <x:c r="AV14" s="130"/>
      <x:c r="AW14" s="130"/>
      <x:c r="AX14" s="130"/>
      <x:c r="AY14" s="130"/>
      <x:c r="AZ14" s="130"/>
    </x:row>
    <x:row r="15">
      <x:c r="A15" s="130"/>
      <x:c r="B15" s="130"/>
      <x:c r="C15" s="130"/>
      <x:c r="D15" s="130"/>
      <x:c r="E15" s="130"/>
      <x:c r="F15" s="130"/>
      <x:c r="G15" s="130"/>
      <x:c r="H15" s="130"/>
      <x:c r="I15" s="130"/>
      <x:c r="J15" s="130"/>
      <x:c r="K15" s="130"/>
      <x:c r="L15" s="130"/>
      <x:c r="M15" s="130"/>
      <x:c r="N15" s="130"/>
      <x:c r="O15" s="130"/>
      <x:c r="P15" s="130"/>
      <x:c r="Q15" s="130"/>
      <x:c r="R15" s="130"/>
      <x:c r="S15" s="130"/>
      <x:c r="T15" s="130"/>
      <x:c r="U15" s="130"/>
      <x:c r="V15" s="130"/>
      <x:c r="W15" s="130"/>
      <x:c r="X15" s="130"/>
      <x:c r="Y15" s="130"/>
      <x:c r="Z15" s="130"/>
      <x:c r="AA15" s="130"/>
      <x:c r="AB15" s="130"/>
      <x:c r="AC15" s="130"/>
      <x:c r="AD15" s="130"/>
      <x:c r="AE15" s="130"/>
      <x:c r="AF15" s="130"/>
      <x:c r="AG15" s="130"/>
      <x:c r="AH15" s="130"/>
      <x:c r="AI15" s="130"/>
      <x:c r="AJ15" s="130"/>
      <x:c r="AK15" s="130"/>
      <x:c r="AL15" s="130"/>
      <x:c r="AM15" s="130"/>
      <x:c r="AN15" s="130"/>
      <x:c r="AO15" s="130"/>
      <x:c r="AP15" s="130"/>
      <x:c r="AQ15" s="130"/>
      <x:c r="AR15" s="130"/>
      <x:c r="AS15" s="130"/>
      <x:c r="AT15" s="130"/>
      <x:c r="AU15" s="130"/>
      <x:c r="AV15" s="130"/>
      <x:c r="AW15" s="130"/>
      <x:c r="AX15" s="130"/>
      <x:c r="AY15" s="130"/>
      <x:c r="AZ15" s="130"/>
    </x:row>
    <x:row r="16">
      <x:c r="A16" s="130"/>
      <x:c r="B16" s="130"/>
      <x:c r="C16" s="130"/>
      <x:c r="D16" s="130"/>
      <x:c r="E16" s="130"/>
      <x:c r="F16" s="130"/>
      <x:c r="G16" s="130"/>
      <x:c r="H16" s="130"/>
      <x:c r="I16" s="130"/>
      <x:c r="J16" s="130"/>
      <x:c r="K16" s="130"/>
      <x:c r="L16" s="130"/>
      <x:c r="M16" s="130"/>
      <x:c r="N16" s="130"/>
      <x:c r="O16" s="130"/>
      <x:c r="P16" s="130"/>
      <x:c r="Q16" s="130"/>
      <x:c r="R16" s="130"/>
      <x:c r="S16" s="130"/>
      <x:c r="T16" s="130"/>
      <x:c r="U16" s="130"/>
      <x:c r="V16" s="130"/>
      <x:c r="W16" s="130"/>
      <x:c r="X16" s="130"/>
      <x:c r="Y16" s="130"/>
      <x:c r="Z16" s="130"/>
      <x:c r="AA16" s="130"/>
      <x:c r="AB16" s="130"/>
      <x:c r="AC16" s="130"/>
      <x:c r="AD16" s="130"/>
      <x:c r="AE16" s="130"/>
      <x:c r="AF16" s="130"/>
      <x:c r="AG16" s="130"/>
      <x:c r="AH16" s="130"/>
      <x:c r="AI16" s="130"/>
      <x:c r="AJ16" s="130"/>
      <x:c r="AK16" s="130"/>
      <x:c r="AL16" s="130"/>
      <x:c r="AM16" s="130"/>
      <x:c r="AN16" s="130"/>
      <x:c r="AO16" s="130"/>
      <x:c r="AP16" s="130"/>
      <x:c r="AQ16" s="130"/>
      <x:c r="AR16" s="130"/>
      <x:c r="AS16" s="130"/>
      <x:c r="AT16" s="130"/>
      <x:c r="AU16" s="130"/>
      <x:c r="AV16" s="130"/>
      <x:c r="AW16" s="130"/>
      <x:c r="AX16" s="130"/>
      <x:c r="AY16" s="130"/>
      <x:c r="AZ16" s="130"/>
    </x:row>
    <x:row r="17">
      <x:c r="A17" s="130"/>
      <x:c r="B17" s="130"/>
      <x:c r="C17" s="130"/>
      <x:c r="D17" s="130"/>
      <x:c r="E17" s="130"/>
      <x:c r="F17" s="130"/>
      <x:c r="G17" s="130"/>
      <x:c r="H17" s="130"/>
      <x:c r="I17" s="130"/>
      <x:c r="J17" s="130"/>
      <x:c r="K17" s="130"/>
      <x:c r="L17" s="130"/>
      <x:c r="M17" s="130"/>
      <x:c r="N17" s="130"/>
      <x:c r="O17" s="130"/>
      <x:c r="P17" s="130"/>
      <x:c r="Q17" s="130"/>
      <x:c r="R17" s="130"/>
      <x:c r="S17" s="130"/>
      <x:c r="T17" s="130"/>
      <x:c r="U17" s="130"/>
      <x:c r="V17" s="130"/>
      <x:c r="W17" s="130"/>
      <x:c r="X17" s="130"/>
      <x:c r="Y17" s="130"/>
      <x:c r="Z17" s="130"/>
      <x:c r="AA17" s="130"/>
      <x:c r="AB17" s="130"/>
      <x:c r="AC17" s="130"/>
      <x:c r="AD17" s="130"/>
      <x:c r="AE17" s="130"/>
      <x:c r="AF17" s="130"/>
      <x:c r="AG17" s="130"/>
      <x:c r="AH17" s="130"/>
      <x:c r="AI17" s="130"/>
      <x:c r="AJ17" s="130"/>
      <x:c r="AK17" s="130"/>
      <x:c r="AL17" s="130"/>
      <x:c r="AM17" s="130"/>
      <x:c r="AN17" s="130"/>
      <x:c r="AO17" s="130"/>
      <x:c r="AP17" s="130"/>
      <x:c r="AQ17" s="130"/>
      <x:c r="AR17" s="130"/>
      <x:c r="AS17" s="130"/>
      <x:c r="AT17" s="130"/>
      <x:c r="AU17" s="130"/>
      <x:c r="AV17" s="130"/>
      <x:c r="AW17" s="130"/>
      <x:c r="AX17" s="130"/>
      <x:c r="AY17" s="130"/>
      <x:c r="AZ17" s="130"/>
    </x:row>
    <x:row r="18">
      <x:c r="A18" s="130"/>
      <x:c r="B18" s="130"/>
      <x:c r="C18" s="130"/>
      <x:c r="D18" s="130"/>
      <x:c r="E18" s="130"/>
      <x:c r="F18" s="130"/>
      <x:c r="G18" s="130"/>
      <x:c r="H18" s="130"/>
      <x:c r="I18" s="130"/>
      <x:c r="J18" s="130"/>
      <x:c r="K18" s="130"/>
      <x:c r="L18" s="130"/>
      <x:c r="M18" s="130"/>
      <x:c r="N18" s="130"/>
      <x:c r="O18" s="130"/>
      <x:c r="P18" s="130"/>
      <x:c r="Q18" s="130"/>
      <x:c r="R18" s="130"/>
      <x:c r="S18" s="130"/>
      <x:c r="T18" s="130"/>
      <x:c r="U18" s="130"/>
      <x:c r="V18" s="130"/>
      <x:c r="W18" s="130"/>
      <x:c r="X18" s="130"/>
      <x:c r="Y18" s="130"/>
      <x:c r="Z18" s="130"/>
      <x:c r="AA18" s="130"/>
      <x:c r="AB18" s="130"/>
      <x:c r="AC18" s="130"/>
      <x:c r="AD18" s="130"/>
      <x:c r="AE18" s="130"/>
      <x:c r="AF18" s="130"/>
      <x:c r="AG18" s="130"/>
      <x:c r="AH18" s="130"/>
      <x:c r="AI18" s="130"/>
      <x:c r="AJ18" s="130"/>
      <x:c r="AK18" s="130"/>
      <x:c r="AL18" s="130"/>
      <x:c r="AM18" s="130"/>
      <x:c r="AN18" s="130"/>
      <x:c r="AO18" s="130"/>
      <x:c r="AP18" s="130"/>
      <x:c r="AQ18" s="130"/>
      <x:c r="AR18" s="130"/>
      <x:c r="AS18" s="130"/>
      <x:c r="AT18" s="130"/>
      <x:c r="AU18" s="130"/>
      <x:c r="AV18" s="130"/>
      <x:c r="AW18" s="130"/>
      <x:c r="AX18" s="130"/>
      <x:c r="AY18" s="130"/>
      <x:c r="AZ18" s="130"/>
    </x:row>
    <x:row r="19">
      <x:c r="A19" s="130"/>
      <x:c r="B19" s="130"/>
      <x:c r="C19" s="130"/>
      <x:c r="D19" s="130"/>
      <x:c r="E19" s="130"/>
      <x:c r="F19" s="130"/>
      <x:c r="G19" s="130"/>
      <x:c r="H19" s="130"/>
      <x:c r="I19" s="130"/>
      <x:c r="J19" s="130"/>
      <x:c r="K19" s="130"/>
      <x:c r="L19" s="130"/>
      <x:c r="M19" s="130"/>
      <x:c r="N19" s="130"/>
      <x:c r="O19" s="130"/>
      <x:c r="P19" s="130"/>
      <x:c r="Q19" s="130"/>
      <x:c r="R19" s="130"/>
      <x:c r="S19" s="130"/>
      <x:c r="T19" s="130"/>
      <x:c r="U19" s="130"/>
      <x:c r="V19" s="130"/>
      <x:c r="W19" s="130"/>
      <x:c r="X19" s="130"/>
      <x:c r="Y19" s="130"/>
      <x:c r="Z19" s="130"/>
      <x:c r="AA19" s="130"/>
      <x:c r="AB19" s="130"/>
      <x:c r="AC19" s="130"/>
      <x:c r="AD19" s="130"/>
      <x:c r="AE19" s="130"/>
      <x:c r="AF19" s="130"/>
      <x:c r="AG19" s="130"/>
      <x:c r="AH19" s="130"/>
      <x:c r="AI19" s="130"/>
      <x:c r="AJ19" s="130"/>
      <x:c r="AK19" s="130"/>
      <x:c r="AL19" s="130"/>
      <x:c r="AM19" s="130"/>
      <x:c r="AN19" s="130"/>
      <x:c r="AO19" s="130"/>
      <x:c r="AP19" s="130"/>
      <x:c r="AQ19" s="130"/>
      <x:c r="AR19" s="130"/>
      <x:c r="AS19" s="130"/>
      <x:c r="AT19" s="130"/>
      <x:c r="AU19" s="130"/>
      <x:c r="AV19" s="130"/>
      <x:c r="AW19" s="130"/>
      <x:c r="AX19" s="130"/>
      <x:c r="AY19" s="130"/>
      <x:c r="AZ19" s="130"/>
    </x:row>
    <x:row r="20">
      <x:c r="A20" s="130"/>
      <x:c r="B20" s="130"/>
      <x:c r="C20" s="130"/>
      <x:c r="D20" s="130"/>
      <x:c r="E20" s="130"/>
      <x:c r="F20" s="130"/>
      <x:c r="G20" s="130"/>
      <x:c r="H20" s="130"/>
      <x:c r="I20" s="130"/>
      <x:c r="J20" s="130"/>
      <x:c r="K20" s="130"/>
      <x:c r="L20" s="130"/>
      <x:c r="M20" s="130"/>
      <x:c r="N20" s="130"/>
      <x:c r="O20" s="130"/>
      <x:c r="P20" s="130"/>
      <x:c r="Q20" s="130"/>
      <x:c r="R20" s="130"/>
      <x:c r="S20" s="130"/>
      <x:c r="T20" s="130"/>
      <x:c r="U20" s="130"/>
      <x:c r="V20" s="130"/>
      <x:c r="W20" s="130"/>
      <x:c r="X20" s="130"/>
      <x:c r="Y20" s="130"/>
      <x:c r="Z20" s="130"/>
      <x:c r="AA20" s="130"/>
      <x:c r="AB20" s="130"/>
      <x:c r="AC20" s="130"/>
      <x:c r="AD20" s="130"/>
      <x:c r="AE20" s="130"/>
      <x:c r="AF20" s="130"/>
      <x:c r="AG20" s="130"/>
      <x:c r="AH20" s="130"/>
      <x:c r="AI20" s="130"/>
      <x:c r="AJ20" s="130"/>
      <x:c r="AK20" s="130"/>
      <x:c r="AL20" s="130"/>
      <x:c r="AM20" s="130"/>
      <x:c r="AN20" s="130"/>
      <x:c r="AO20" s="130"/>
      <x:c r="AP20" s="130"/>
      <x:c r="AQ20" s="130"/>
      <x:c r="AR20" s="130"/>
      <x:c r="AS20" s="130"/>
      <x:c r="AT20" s="130"/>
      <x:c r="AU20" s="130"/>
      <x:c r="AV20" s="130"/>
      <x:c r="AW20" s="130"/>
      <x:c r="AX20" s="130"/>
      <x:c r="AY20" s="130"/>
      <x:c r="AZ20" s="130"/>
    </x:row>
    <x:row r="21">
      <x:c r="A21" s="130"/>
      <x:c r="B21" s="130"/>
      <x:c r="C21" s="130"/>
      <x:c r="D21" s="130"/>
      <x:c r="E21" s="130"/>
      <x:c r="F21" s="130"/>
      <x:c r="G21" s="130"/>
      <x:c r="H21" s="130"/>
      <x:c r="I21" s="130"/>
      <x:c r="J21" s="130"/>
      <x:c r="K21" s="130"/>
      <x:c r="L21" s="130"/>
      <x:c r="M21" s="130"/>
      <x:c r="N21" s="130"/>
      <x:c r="O21" s="130"/>
      <x:c r="P21" s="130"/>
      <x:c r="Q21" s="130"/>
      <x:c r="R21" s="130"/>
      <x:c r="S21" s="130"/>
      <x:c r="T21" s="130"/>
      <x:c r="U21" s="130"/>
      <x:c r="V21" s="130"/>
      <x:c r="W21" s="130"/>
      <x:c r="X21" s="130"/>
      <x:c r="Y21" s="130"/>
      <x:c r="Z21" s="130"/>
      <x:c r="AA21" s="130"/>
      <x:c r="AB21" s="130"/>
      <x:c r="AC21" s="130"/>
      <x:c r="AD21" s="130"/>
      <x:c r="AE21" s="130"/>
      <x:c r="AF21" s="130"/>
      <x:c r="AG21" s="130"/>
      <x:c r="AH21" s="130"/>
      <x:c r="AI21" s="130"/>
      <x:c r="AJ21" s="130"/>
      <x:c r="AK21" s="130"/>
      <x:c r="AL21" s="130"/>
      <x:c r="AM21" s="130"/>
      <x:c r="AN21" s="130"/>
      <x:c r="AO21" s="130"/>
      <x:c r="AP21" s="130"/>
      <x:c r="AQ21" s="130"/>
      <x:c r="AR21" s="130"/>
      <x:c r="AS21" s="130"/>
      <x:c r="AT21" s="130"/>
      <x:c r="AU21" s="130"/>
      <x:c r="AV21" s="130"/>
      <x:c r="AW21" s="130"/>
      <x:c r="AX21" s="130"/>
      <x:c r="AY21" s="130"/>
      <x:c r="AZ21" s="130"/>
    </x:row>
    <x:row r="22">
      <x:c r="A22" s="130"/>
      <x:c r="B22" s="130"/>
      <x:c r="C22" s="130"/>
      <x:c r="D22" s="130"/>
      <x:c r="E22" s="130"/>
      <x:c r="F22" s="130"/>
      <x:c r="G22" s="130"/>
      <x:c r="H22" s="130"/>
      <x:c r="I22" s="130"/>
      <x:c r="J22" s="130"/>
      <x:c r="K22" s="130"/>
      <x:c r="L22" s="130"/>
      <x:c r="M22" s="130"/>
      <x:c r="N22" s="130"/>
      <x:c r="O22" s="130"/>
      <x:c r="P22" s="130"/>
      <x:c r="Q22" s="130"/>
      <x:c r="R22" s="130"/>
      <x:c r="S22" s="130"/>
      <x:c r="T22" s="130"/>
      <x:c r="U22" s="130"/>
      <x:c r="V22" s="130"/>
      <x:c r="W22" s="130"/>
      <x:c r="X22" s="130"/>
      <x:c r="Y22" s="130"/>
      <x:c r="Z22" s="130"/>
      <x:c r="AA22" s="130"/>
      <x:c r="AB22" s="130"/>
      <x:c r="AC22" s="130"/>
      <x:c r="AD22" s="130"/>
      <x:c r="AE22" s="130"/>
      <x:c r="AF22" s="130"/>
      <x:c r="AG22" s="130"/>
      <x:c r="AH22" s="130"/>
      <x:c r="AI22" s="130"/>
      <x:c r="AJ22" s="130"/>
      <x:c r="AK22" s="130"/>
      <x:c r="AL22" s="130"/>
      <x:c r="AM22" s="130"/>
      <x:c r="AN22" s="130"/>
      <x:c r="AO22" s="130"/>
      <x:c r="AP22" s="130"/>
      <x:c r="AQ22" s="130"/>
      <x:c r="AR22" s="130"/>
      <x:c r="AS22" s="130"/>
      <x:c r="AT22" s="130"/>
      <x:c r="AU22" s="130"/>
      <x:c r="AV22" s="130"/>
      <x:c r="AW22" s="130"/>
      <x:c r="AX22" s="130"/>
      <x:c r="AY22" s="130"/>
      <x:c r="AZ22" s="130"/>
    </x:row>
    <x:row r="23">
      <x:c r="A23" s="130"/>
      <x:c r="B23" s="130"/>
      <x:c r="C23" s="130"/>
      <x:c r="D23" s="130"/>
      <x:c r="E23" s="130"/>
      <x:c r="F23" s="130"/>
      <x:c r="G23" s="130"/>
      <x:c r="H23" s="130"/>
      <x:c r="I23" s="130"/>
      <x:c r="J23" s="130"/>
      <x:c r="K23" s="130"/>
      <x:c r="L23" s="130"/>
      <x:c r="M23" s="130"/>
      <x:c r="N23" s="130"/>
      <x:c r="O23" s="130"/>
      <x:c r="P23" s="130"/>
      <x:c r="Q23" s="130"/>
      <x:c r="R23" s="130"/>
      <x:c r="S23" s="130"/>
      <x:c r="T23" s="130"/>
      <x:c r="U23" s="130"/>
      <x:c r="V23" s="130"/>
      <x:c r="W23" s="130"/>
      <x:c r="X23" s="130"/>
      <x:c r="Y23" s="130"/>
      <x:c r="Z23" s="130"/>
      <x:c r="AA23" s="130"/>
      <x:c r="AB23" s="130"/>
      <x:c r="AC23" s="130"/>
      <x:c r="AD23" s="130"/>
      <x:c r="AE23" s="130"/>
      <x:c r="AF23" s="130"/>
      <x:c r="AG23" s="130"/>
      <x:c r="AH23" s="130"/>
      <x:c r="AI23" s="130"/>
      <x:c r="AJ23" s="130"/>
      <x:c r="AK23" s="130"/>
      <x:c r="AL23" s="130"/>
      <x:c r="AM23" s="130"/>
      <x:c r="AN23" s="130"/>
      <x:c r="AO23" s="130"/>
      <x:c r="AP23" s="130"/>
      <x:c r="AQ23" s="130"/>
      <x:c r="AR23" s="130"/>
      <x:c r="AS23" s="130"/>
      <x:c r="AT23" s="130"/>
      <x:c r="AU23" s="130"/>
      <x:c r="AV23" s="130"/>
      <x:c r="AW23" s="130"/>
      <x:c r="AX23" s="130"/>
      <x:c r="AY23" s="130"/>
      <x:c r="AZ23" s="130"/>
    </x:row>
    <x:row r="24">
      <x:c r="A24" s="130"/>
      <x:c r="B24" s="130"/>
      <x:c r="C24" s="130"/>
      <x:c r="D24" s="130"/>
      <x:c r="E24" s="130"/>
      <x:c r="F24" s="130"/>
      <x:c r="G24" s="130"/>
      <x:c r="H24" s="130"/>
      <x:c r="I24" s="130"/>
      <x:c r="J24" s="130"/>
      <x:c r="K24" s="130"/>
      <x:c r="L24" s="130"/>
      <x:c r="M24" s="130"/>
      <x:c r="N24" s="130"/>
      <x:c r="O24" s="130"/>
      <x:c r="P24" s="130"/>
      <x:c r="Q24" s="130"/>
      <x:c r="R24" s="130"/>
      <x:c r="S24" s="130"/>
      <x:c r="T24" s="130"/>
      <x:c r="U24" s="130"/>
      <x:c r="V24" s="130"/>
      <x:c r="W24" s="130"/>
      <x:c r="X24" s="130"/>
      <x:c r="Y24" s="130"/>
      <x:c r="Z24" s="130"/>
      <x:c r="AA24" s="130"/>
      <x:c r="AB24" s="130"/>
      <x:c r="AC24" s="130"/>
      <x:c r="AD24" s="130"/>
      <x:c r="AE24" s="130"/>
      <x:c r="AF24" s="130"/>
      <x:c r="AG24" s="130"/>
      <x:c r="AH24" s="130"/>
      <x:c r="AI24" s="130"/>
      <x:c r="AJ24" s="130"/>
      <x:c r="AK24" s="130"/>
      <x:c r="AL24" s="130"/>
      <x:c r="AM24" s="130"/>
      <x:c r="AN24" s="130"/>
      <x:c r="AO24" s="130"/>
      <x:c r="AP24" s="130"/>
      <x:c r="AQ24" s="130"/>
      <x:c r="AR24" s="130"/>
      <x:c r="AS24" s="130"/>
      <x:c r="AT24" s="130"/>
      <x:c r="AU24" s="130"/>
      <x:c r="AV24" s="130"/>
      <x:c r="AW24" s="130"/>
      <x:c r="AX24" s="130"/>
      <x:c r="AY24" s="130"/>
      <x:c r="AZ24" s="130"/>
    </x:row>
    <x:row r="25">
      <x:c r="A25" s="130"/>
      <x:c r="B25" s="130"/>
      <x:c r="C25" s="130"/>
      <x:c r="D25" s="130"/>
      <x:c r="E25" s="130"/>
      <x:c r="F25" s="130"/>
      <x:c r="G25" s="130"/>
      <x:c r="H25" s="130"/>
      <x:c r="I25" s="130"/>
      <x:c r="J25" s="130"/>
      <x:c r="K25" s="130"/>
      <x:c r="L25" s="130"/>
      <x:c r="M25" s="130"/>
      <x:c r="N25" s="130"/>
      <x:c r="O25" s="130"/>
      <x:c r="P25" s="130"/>
      <x:c r="Q25" s="130"/>
      <x:c r="R25" s="130"/>
      <x:c r="S25" s="130"/>
      <x:c r="T25" s="130"/>
      <x:c r="U25" s="130"/>
      <x:c r="V25" s="130"/>
      <x:c r="W25" s="130"/>
      <x:c r="X25" s="130"/>
      <x:c r="Y25" s="130"/>
      <x:c r="Z25" s="130"/>
      <x:c r="AA25" s="130"/>
      <x:c r="AB25" s="130"/>
      <x:c r="AC25" s="130"/>
      <x:c r="AD25" s="130"/>
      <x:c r="AE25" s="130"/>
      <x:c r="AF25" s="130"/>
      <x:c r="AG25" s="130"/>
      <x:c r="AH25" s="130"/>
      <x:c r="AI25" s="130"/>
      <x:c r="AJ25" s="130"/>
      <x:c r="AK25" s="130"/>
      <x:c r="AL25" s="130"/>
      <x:c r="AM25" s="130"/>
      <x:c r="AN25" s="130"/>
      <x:c r="AO25" s="130"/>
      <x:c r="AP25" s="130"/>
      <x:c r="AQ25" s="130"/>
      <x:c r="AR25" s="130"/>
      <x:c r="AS25" s="130"/>
      <x:c r="AT25" s="130"/>
      <x:c r="AU25" s="130"/>
      <x:c r="AV25" s="130"/>
      <x:c r="AW25" s="130"/>
      <x:c r="AX25" s="130"/>
      <x:c r="AY25" s="130"/>
      <x:c r="AZ25" s="130"/>
    </x:row>
    <x:row r="26">
      <x:c r="A26" s="130"/>
      <x:c r="B26" s="130"/>
      <x:c r="C26" s="130"/>
      <x:c r="D26" s="130"/>
      <x:c r="E26" s="130"/>
      <x:c r="F26" s="130"/>
      <x:c r="G26" s="130"/>
      <x:c r="H26" s="130"/>
      <x:c r="I26" s="130"/>
      <x:c r="J26" s="130"/>
      <x:c r="K26" s="130"/>
      <x:c r="L26" s="130"/>
      <x:c r="M26" s="130"/>
      <x:c r="N26" s="130"/>
      <x:c r="O26" s="130"/>
      <x:c r="P26" s="130"/>
      <x:c r="Q26" s="130"/>
      <x:c r="R26" s="130"/>
      <x:c r="S26" s="130"/>
      <x:c r="T26" s="130"/>
      <x:c r="U26" s="130"/>
      <x:c r="V26" s="130"/>
      <x:c r="W26" s="130"/>
      <x:c r="X26" s="130"/>
      <x:c r="Y26" s="130"/>
      <x:c r="Z26" s="130"/>
      <x:c r="AA26" s="130"/>
      <x:c r="AB26" s="130"/>
      <x:c r="AC26" s="130"/>
      <x:c r="AD26" s="130"/>
      <x:c r="AE26" s="130"/>
      <x:c r="AF26" s="130"/>
      <x:c r="AG26" s="130"/>
      <x:c r="AH26" s="130"/>
      <x:c r="AI26" s="130"/>
      <x:c r="AJ26" s="130"/>
      <x:c r="AK26" s="130"/>
      <x:c r="AL26" s="130"/>
      <x:c r="AM26" s="130"/>
      <x:c r="AN26" s="130"/>
      <x:c r="AO26" s="130"/>
      <x:c r="AP26" s="130"/>
      <x:c r="AQ26" s="130"/>
      <x:c r="AR26" s="130"/>
      <x:c r="AS26" s="130"/>
      <x:c r="AT26" s="130"/>
      <x:c r="AU26" s="130"/>
      <x:c r="AV26" s="130"/>
      <x:c r="AW26" s="130"/>
      <x:c r="AX26" s="130"/>
      <x:c r="AY26" s="130"/>
      <x:c r="AZ26" s="130"/>
    </x:row>
    <x:row r="27">
      <x:c r="A27" s="130"/>
      <x:c r="B27" s="130"/>
      <x:c r="C27" s="130"/>
      <x:c r="D27" s="130"/>
      <x:c r="E27" s="130"/>
      <x:c r="F27" s="130"/>
      <x:c r="G27" s="130"/>
      <x:c r="H27" s="130"/>
      <x:c r="I27" s="130"/>
      <x:c r="J27" s="130"/>
      <x:c r="K27" s="130"/>
      <x:c r="L27" s="130"/>
      <x:c r="M27" s="130"/>
      <x:c r="N27" s="130"/>
      <x:c r="O27" s="130"/>
      <x:c r="P27" s="130"/>
      <x:c r="Q27" s="130"/>
      <x:c r="R27" s="130"/>
      <x:c r="S27" s="130"/>
      <x:c r="T27" s="130"/>
      <x:c r="U27" s="130"/>
      <x:c r="V27" s="130"/>
      <x:c r="W27" s="130"/>
      <x:c r="X27" s="130"/>
      <x:c r="Y27" s="130"/>
      <x:c r="Z27" s="130"/>
      <x:c r="AA27" s="130"/>
      <x:c r="AB27" s="130"/>
      <x:c r="AC27" s="130"/>
      <x:c r="AD27" s="130"/>
      <x:c r="AE27" s="130"/>
      <x:c r="AF27" s="130"/>
      <x:c r="AG27" s="130"/>
      <x:c r="AH27" s="130"/>
      <x:c r="AI27" s="130"/>
      <x:c r="AJ27" s="130"/>
      <x:c r="AK27" s="130"/>
      <x:c r="AL27" s="130"/>
      <x:c r="AM27" s="130"/>
      <x:c r="AN27" s="130"/>
      <x:c r="AO27" s="130"/>
      <x:c r="AP27" s="130"/>
      <x:c r="AQ27" s="130"/>
      <x:c r="AR27" s="130"/>
      <x:c r="AS27" s="130"/>
      <x:c r="AT27" s="130"/>
      <x:c r="AU27" s="130"/>
      <x:c r="AV27" s="130"/>
      <x:c r="AW27" s="130"/>
      <x:c r="AX27" s="130"/>
      <x:c r="AY27" s="130"/>
      <x:c r="AZ27" s="130"/>
    </x:row>
    <x:row r="28">
      <x:c r="A28" s="130"/>
      <x:c r="B28" s="130"/>
      <x:c r="C28" s="130"/>
      <x:c r="D28" s="130"/>
      <x:c r="E28" s="130"/>
      <x:c r="F28" s="130"/>
      <x:c r="G28" s="130"/>
      <x:c r="H28" s="130"/>
      <x:c r="I28" s="130"/>
      <x:c r="J28" s="130"/>
      <x:c r="K28" s="130"/>
      <x:c r="L28" s="130"/>
      <x:c r="M28" s="130"/>
      <x:c r="N28" s="130"/>
      <x:c r="O28" s="130"/>
      <x:c r="P28" s="130"/>
      <x:c r="Q28" s="130"/>
      <x:c r="R28" s="130"/>
      <x:c r="S28" s="130"/>
      <x:c r="T28" s="130"/>
      <x:c r="U28" s="130"/>
      <x:c r="V28" s="130"/>
      <x:c r="W28" s="130"/>
      <x:c r="X28" s="130"/>
      <x:c r="Y28" s="130"/>
      <x:c r="Z28" s="130"/>
      <x:c r="AA28" s="130"/>
      <x:c r="AB28" s="130"/>
      <x:c r="AC28" s="130"/>
      <x:c r="AD28" s="130"/>
      <x:c r="AE28" s="130"/>
      <x:c r="AF28" s="130"/>
      <x:c r="AG28" s="130"/>
      <x:c r="AH28" s="130"/>
      <x:c r="AI28" s="130"/>
      <x:c r="AJ28" s="130"/>
      <x:c r="AK28" s="130"/>
      <x:c r="AL28" s="130"/>
      <x:c r="AM28" s="130"/>
      <x:c r="AN28" s="130"/>
      <x:c r="AO28" s="130"/>
      <x:c r="AP28" s="130"/>
      <x:c r="AQ28" s="130"/>
      <x:c r="AR28" s="130"/>
      <x:c r="AS28" s="130"/>
      <x:c r="AT28" s="130"/>
      <x:c r="AU28" s="130"/>
      <x:c r="AV28" s="130"/>
      <x:c r="AW28" s="130"/>
      <x:c r="AX28" s="130"/>
      <x:c r="AY28" s="130"/>
      <x:c r="AZ28" s="130"/>
    </x:row>
    <x:row r="29">
      <x:c r="A29" s="130"/>
      <x:c r="B29" s="130"/>
      <x:c r="C29" s="130"/>
      <x:c r="D29" s="130"/>
      <x:c r="E29" s="130"/>
      <x:c r="F29" s="130"/>
      <x:c r="G29" s="130"/>
      <x:c r="H29" s="130"/>
      <x:c r="I29" s="130"/>
      <x:c r="J29" s="130"/>
      <x:c r="K29" s="130"/>
      <x:c r="L29" s="130"/>
      <x:c r="M29" s="130"/>
      <x:c r="N29" s="130"/>
      <x:c r="O29" s="130"/>
      <x:c r="P29" s="130"/>
      <x:c r="Q29" s="130"/>
      <x:c r="R29" s="130"/>
      <x:c r="S29" s="130"/>
      <x:c r="T29" s="130"/>
      <x:c r="U29" s="130"/>
      <x:c r="V29" s="130"/>
      <x:c r="W29" s="130"/>
      <x:c r="X29" s="130"/>
      <x:c r="Y29" s="130"/>
      <x:c r="Z29" s="130"/>
      <x:c r="AA29" s="130"/>
      <x:c r="AB29" s="130"/>
      <x:c r="AC29" s="130"/>
      <x:c r="AD29" s="130"/>
      <x:c r="AE29" s="130"/>
      <x:c r="AF29" s="130"/>
      <x:c r="AG29" s="130"/>
      <x:c r="AH29" s="130"/>
      <x:c r="AI29" s="130"/>
      <x:c r="AJ29" s="130"/>
      <x:c r="AK29" s="130"/>
      <x:c r="AL29" s="130"/>
      <x:c r="AM29" s="130"/>
      <x:c r="AN29" s="130"/>
      <x:c r="AO29" s="130"/>
      <x:c r="AP29" s="130"/>
      <x:c r="AQ29" s="130"/>
      <x:c r="AR29" s="130"/>
      <x:c r="AS29" s="130"/>
      <x:c r="AT29" s="130"/>
      <x:c r="AU29" s="130"/>
      <x:c r="AV29" s="130"/>
      <x:c r="AW29" s="130"/>
      <x:c r="AX29" s="130"/>
      <x:c r="AY29" s="130"/>
      <x:c r="AZ29" s="130"/>
    </x:row>
    <x:row r="30">
      <x:c r="A30" s="130"/>
      <x:c r="B30" s="130"/>
      <x:c r="C30" s="130"/>
      <x:c r="D30" s="130"/>
      <x:c r="E30" s="130"/>
      <x:c r="F30" s="130"/>
      <x:c r="G30" s="130"/>
      <x:c r="H30" s="130"/>
      <x:c r="I30" s="130"/>
      <x:c r="J30" s="130"/>
      <x:c r="K30" s="130"/>
      <x:c r="L30" s="130"/>
      <x:c r="M30" s="130"/>
      <x:c r="N30" s="130"/>
      <x:c r="O30" s="130"/>
      <x:c r="P30" s="130"/>
      <x:c r="Q30" s="130"/>
      <x:c r="R30" s="130"/>
      <x:c r="S30" s="130"/>
      <x:c r="T30" s="130"/>
      <x:c r="U30" s="130"/>
      <x:c r="V30" s="130"/>
      <x:c r="W30" s="130"/>
      <x:c r="X30" s="130"/>
      <x:c r="Y30" s="130"/>
      <x:c r="Z30" s="130"/>
      <x:c r="AA30" s="130"/>
      <x:c r="AB30" s="130"/>
      <x:c r="AC30" s="130"/>
      <x:c r="AD30" s="130"/>
      <x:c r="AE30" s="130"/>
      <x:c r="AF30" s="130"/>
      <x:c r="AG30" s="130"/>
      <x:c r="AH30" s="130"/>
      <x:c r="AI30" s="130"/>
      <x:c r="AJ30" s="130"/>
      <x:c r="AK30" s="130"/>
      <x:c r="AL30" s="130"/>
      <x:c r="AM30" s="130"/>
      <x:c r="AN30" s="130"/>
      <x:c r="AO30" s="130"/>
      <x:c r="AP30" s="130"/>
      <x:c r="AQ30" s="130"/>
      <x:c r="AR30" s="130"/>
      <x:c r="AS30" s="130"/>
      <x:c r="AT30" s="130"/>
      <x:c r="AU30" s="130"/>
      <x:c r="AV30" s="130"/>
      <x:c r="AW30" s="130"/>
      <x:c r="AX30" s="130"/>
      <x:c r="AY30" s="130"/>
      <x:c r="AZ30" s="130"/>
    </x:row>
    <x:row r="31">
      <x:c r="A31" s="130"/>
      <x:c r="B31" s="130"/>
      <x:c r="C31" s="130"/>
      <x:c r="D31" s="130"/>
      <x:c r="E31" s="130"/>
      <x:c r="F31" s="130"/>
      <x:c r="G31" s="130"/>
      <x:c r="H31" s="130"/>
      <x:c r="I31" s="130"/>
      <x:c r="J31" s="130"/>
      <x:c r="K31" s="130"/>
      <x:c r="L31" s="130"/>
      <x:c r="M31" s="130"/>
      <x:c r="N31" s="130"/>
      <x:c r="O31" s="130"/>
      <x:c r="P31" s="130"/>
      <x:c r="Q31" s="130"/>
      <x:c r="R31" s="130"/>
      <x:c r="S31" s="130"/>
      <x:c r="T31" s="130"/>
      <x:c r="U31" s="130"/>
      <x:c r="V31" s="130"/>
      <x:c r="W31" s="130"/>
      <x:c r="X31" s="130"/>
      <x:c r="Y31" s="130"/>
      <x:c r="Z31" s="130"/>
      <x:c r="AA31" s="130"/>
      <x:c r="AB31" s="130"/>
      <x:c r="AC31" s="130"/>
      <x:c r="AD31" s="130"/>
      <x:c r="AE31" s="130"/>
      <x:c r="AF31" s="130"/>
      <x:c r="AG31" s="130"/>
      <x:c r="AH31" s="130"/>
      <x:c r="AI31" s="130"/>
      <x:c r="AJ31" s="130"/>
      <x:c r="AK31" s="130"/>
      <x:c r="AL31" s="130"/>
      <x:c r="AM31" s="130"/>
      <x:c r="AN31" s="130"/>
      <x:c r="AO31" s="130"/>
      <x:c r="AP31" s="130"/>
      <x:c r="AQ31" s="130"/>
      <x:c r="AR31" s="130"/>
      <x:c r="AS31" s="130"/>
      <x:c r="AT31" s="130"/>
      <x:c r="AU31" s="130"/>
      <x:c r="AV31" s="130"/>
      <x:c r="AW31" s="130"/>
      <x:c r="AX31" s="130"/>
      <x:c r="AY31" s="130"/>
      <x:c r="AZ31" s="130"/>
    </x:row>
    <x:row r="32">
      <x:c r="A32" s="130"/>
      <x:c r="B32" s="130"/>
      <x:c r="C32" s="130"/>
      <x:c r="D32" s="130"/>
      <x:c r="E32" s="130"/>
      <x:c r="F32" s="130"/>
      <x:c r="G32" s="130"/>
      <x:c r="H32" s="130"/>
      <x:c r="I32" s="130"/>
      <x:c r="J32" s="130"/>
      <x:c r="K32" s="130"/>
      <x:c r="L32" s="130"/>
      <x:c r="M32" s="130"/>
      <x:c r="N32" s="130"/>
      <x:c r="O32" s="130"/>
      <x:c r="P32" s="130"/>
      <x:c r="Q32" s="130"/>
      <x:c r="R32" s="130"/>
      <x:c r="S32" s="130"/>
      <x:c r="T32" s="130"/>
      <x:c r="U32" s="130"/>
      <x:c r="V32" s="130"/>
      <x:c r="W32" s="130"/>
      <x:c r="X32" s="130"/>
      <x:c r="Y32" s="130"/>
      <x:c r="Z32" s="130"/>
      <x:c r="AA32" s="130"/>
      <x:c r="AB32" s="130"/>
      <x:c r="AC32" s="130"/>
      <x:c r="AD32" s="130"/>
      <x:c r="AE32" s="130"/>
      <x:c r="AF32" s="130"/>
      <x:c r="AG32" s="130"/>
      <x:c r="AH32" s="130"/>
      <x:c r="AI32" s="130"/>
      <x:c r="AJ32" s="130"/>
      <x:c r="AK32" s="130"/>
      <x:c r="AL32" s="130"/>
      <x:c r="AM32" s="130"/>
      <x:c r="AN32" s="130"/>
      <x:c r="AO32" s="130"/>
      <x:c r="AP32" s="130"/>
      <x:c r="AQ32" s="130"/>
      <x:c r="AR32" s="130"/>
      <x:c r="AS32" s="130"/>
      <x:c r="AT32" s="130"/>
      <x:c r="AU32" s="130"/>
      <x:c r="AV32" s="130"/>
      <x:c r="AW32" s="130"/>
      <x:c r="AX32" s="130"/>
      <x:c r="AY32" s="130"/>
      <x:c r="AZ32" s="130"/>
    </x:row>
    <x:row r="33">
      <x:c r="A33" s="130"/>
      <x:c r="B33" s="130"/>
      <x:c r="C33" s="130"/>
      <x:c r="D33" s="130"/>
      <x:c r="E33" s="130"/>
      <x:c r="F33" s="130"/>
      <x:c r="G33" s="130"/>
      <x:c r="H33" s="130"/>
      <x:c r="I33" s="130"/>
      <x:c r="J33" s="130"/>
      <x:c r="K33" s="130"/>
      <x:c r="L33" s="130"/>
      <x:c r="M33" s="130"/>
      <x:c r="N33" s="130"/>
      <x:c r="O33" s="130"/>
      <x:c r="P33" s="130"/>
      <x:c r="Q33" s="130"/>
      <x:c r="R33" s="130"/>
      <x:c r="S33" s="130"/>
      <x:c r="T33" s="130"/>
      <x:c r="U33" s="130"/>
      <x:c r="V33" s="130"/>
      <x:c r="W33" s="130"/>
      <x:c r="X33" s="130"/>
      <x:c r="Y33" s="130"/>
      <x:c r="Z33" s="130"/>
      <x:c r="AA33" s="130"/>
      <x:c r="AB33" s="130"/>
      <x:c r="AC33" s="130"/>
      <x:c r="AD33" s="130"/>
      <x:c r="AE33" s="130"/>
      <x:c r="AF33" s="130"/>
      <x:c r="AG33" s="130"/>
      <x:c r="AH33" s="130"/>
      <x:c r="AI33" s="130"/>
      <x:c r="AJ33" s="130"/>
      <x:c r="AK33" s="130"/>
      <x:c r="AL33" s="130"/>
      <x:c r="AM33" s="130"/>
      <x:c r="AN33" s="130"/>
      <x:c r="AO33" s="130"/>
      <x:c r="AP33" s="130"/>
      <x:c r="AQ33" s="130"/>
      <x:c r="AR33" s="130"/>
      <x:c r="AS33" s="130"/>
      <x:c r="AT33" s="130"/>
      <x:c r="AU33" s="130"/>
      <x:c r="AV33" s="130"/>
      <x:c r="AW33" s="130"/>
      <x:c r="AX33" s="130"/>
      <x:c r="AY33" s="130"/>
      <x:c r="AZ33" s="130"/>
    </x:row>
    <x:row r="34">
      <x:c r="A34" s="130"/>
      <x:c r="B34" s="130"/>
      <x:c r="C34" s="130"/>
      <x:c r="D34" s="130"/>
      <x:c r="E34" s="130"/>
      <x:c r="F34" s="130"/>
      <x:c r="G34" s="130"/>
      <x:c r="H34" s="130"/>
      <x:c r="I34" s="130"/>
      <x:c r="J34" s="130"/>
      <x:c r="K34" s="130"/>
      <x:c r="L34" s="130"/>
      <x:c r="M34" s="130"/>
      <x:c r="N34" s="130"/>
      <x:c r="O34" s="130"/>
      <x:c r="P34" s="130"/>
      <x:c r="Q34" s="130"/>
      <x:c r="R34" s="130"/>
      <x:c r="S34" s="130"/>
      <x:c r="T34" s="130"/>
      <x:c r="U34" s="130"/>
      <x:c r="V34" s="130"/>
      <x:c r="W34" s="130"/>
      <x:c r="X34" s="130"/>
      <x:c r="Y34" s="130"/>
      <x:c r="Z34" s="130"/>
      <x:c r="AA34" s="130"/>
      <x:c r="AB34" s="130"/>
      <x:c r="AC34" s="130"/>
      <x:c r="AD34" s="130"/>
      <x:c r="AE34" s="130"/>
      <x:c r="AF34" s="130"/>
      <x:c r="AG34" s="130"/>
      <x:c r="AH34" s="130"/>
      <x:c r="AI34" s="130"/>
      <x:c r="AJ34" s="130"/>
      <x:c r="AK34" s="130"/>
      <x:c r="AL34" s="130"/>
      <x:c r="AM34" s="130"/>
      <x:c r="AN34" s="130"/>
      <x:c r="AO34" s="130"/>
      <x:c r="AP34" s="130"/>
      <x:c r="AQ34" s="130"/>
      <x:c r="AR34" s="130"/>
      <x:c r="AS34" s="130"/>
      <x:c r="AT34" s="130"/>
      <x:c r="AU34" s="130"/>
      <x:c r="AV34" s="130"/>
      <x:c r="AW34" s="130"/>
      <x:c r="AX34" s="130"/>
      <x:c r="AY34" s="130"/>
      <x:c r="AZ34" s="130"/>
    </x:row>
    <x:row r="35">
      <x:c r="A35" s="130"/>
      <x:c r="B35" s="130"/>
      <x:c r="C35" s="130"/>
      <x:c r="D35" s="130"/>
      <x:c r="E35" s="130"/>
      <x:c r="F35" s="130"/>
      <x:c r="G35" s="130"/>
      <x:c r="H35" s="130"/>
      <x:c r="I35" s="130"/>
      <x:c r="J35" s="130"/>
      <x:c r="K35" s="130"/>
      <x:c r="L35" s="130"/>
      <x:c r="M35" s="130"/>
      <x:c r="N35" s="130"/>
      <x:c r="O35" s="130"/>
      <x:c r="P35" s="130"/>
      <x:c r="Q35" s="130"/>
      <x:c r="R35" s="130"/>
      <x:c r="S35" s="130"/>
      <x:c r="T35" s="130"/>
      <x:c r="U35" s="130"/>
      <x:c r="V35" s="130"/>
      <x:c r="W35" s="130"/>
      <x:c r="X35" s="130"/>
      <x:c r="Y35" s="130"/>
      <x:c r="Z35" s="130"/>
      <x:c r="AA35" s="130"/>
      <x:c r="AB35" s="130"/>
      <x:c r="AC35" s="130"/>
      <x:c r="AD35" s="130"/>
      <x:c r="AE35" s="130"/>
      <x:c r="AF35" s="130"/>
      <x:c r="AG35" s="130"/>
      <x:c r="AH35" s="130"/>
      <x:c r="AI35" s="130"/>
      <x:c r="AJ35" s="130"/>
      <x:c r="AK35" s="130"/>
      <x:c r="AL35" s="130"/>
      <x:c r="AM35" s="130"/>
      <x:c r="AN35" s="130"/>
      <x:c r="AO35" s="130"/>
      <x:c r="AP35" s="130"/>
      <x:c r="AQ35" s="130"/>
      <x:c r="AR35" s="130"/>
      <x:c r="AS35" s="130"/>
      <x:c r="AT35" s="130"/>
      <x:c r="AU35" s="130"/>
      <x:c r="AV35" s="130"/>
      <x:c r="AW35" s="130"/>
      <x:c r="AX35" s="130"/>
      <x:c r="AY35" s="130"/>
      <x:c r="AZ35" s="130"/>
    </x:row>
    <x:row r="36">
      <x:c r="A36" s="130"/>
      <x:c r="B36" s="130"/>
      <x:c r="C36" s="130"/>
      <x:c r="D36" s="130"/>
      <x:c r="E36" s="130"/>
      <x:c r="F36" s="130"/>
      <x:c r="G36" s="130"/>
      <x:c r="H36" s="130"/>
      <x:c r="I36" s="130"/>
      <x:c r="J36" s="130"/>
      <x:c r="K36" s="130"/>
      <x:c r="L36" s="130"/>
      <x:c r="M36" s="130"/>
      <x:c r="N36" s="130"/>
      <x:c r="O36" s="130"/>
      <x:c r="P36" s="130"/>
      <x:c r="Q36" s="130"/>
      <x:c r="R36" s="130"/>
      <x:c r="S36" s="130"/>
      <x:c r="T36" s="130"/>
      <x:c r="U36" s="130"/>
      <x:c r="V36" s="130"/>
      <x:c r="W36" s="130"/>
      <x:c r="X36" s="130"/>
      <x:c r="Y36" s="130"/>
      <x:c r="Z36" s="130"/>
      <x:c r="AA36" s="130"/>
      <x:c r="AB36" s="130"/>
      <x:c r="AC36" s="130"/>
      <x:c r="AD36" s="130"/>
      <x:c r="AE36" s="130"/>
      <x:c r="AF36" s="130"/>
      <x:c r="AG36" s="130"/>
      <x:c r="AH36" s="130"/>
      <x:c r="AI36" s="130"/>
      <x:c r="AJ36" s="130"/>
      <x:c r="AK36" s="130"/>
      <x:c r="AL36" s="130"/>
      <x:c r="AM36" s="130"/>
      <x:c r="AN36" s="130"/>
      <x:c r="AO36" s="130"/>
      <x:c r="AP36" s="130"/>
      <x:c r="AQ36" s="130"/>
      <x:c r="AR36" s="130"/>
      <x:c r="AS36" s="130"/>
      <x:c r="AT36" s="130"/>
      <x:c r="AU36" s="130"/>
      <x:c r="AV36" s="130"/>
      <x:c r="AW36" s="130"/>
      <x:c r="AX36" s="130"/>
      <x:c r="AY36" s="130"/>
      <x:c r="AZ36" s="130"/>
    </x:row>
    <x:row r="37">
      <x:c r="A37" s="130"/>
      <x:c r="B37" s="130"/>
      <x:c r="C37" s="130"/>
      <x:c r="D37" s="130"/>
      <x:c r="E37" s="130"/>
      <x:c r="F37" s="130"/>
      <x:c r="G37" s="130"/>
      <x:c r="H37" s="130"/>
      <x:c r="I37" s="130"/>
      <x:c r="J37" s="130"/>
      <x:c r="K37" s="130"/>
      <x:c r="L37" s="130"/>
      <x:c r="M37" s="130"/>
      <x:c r="N37" s="130"/>
      <x:c r="O37" s="130"/>
      <x:c r="P37" s="130"/>
      <x:c r="Q37" s="130"/>
      <x:c r="R37" s="130"/>
      <x:c r="S37" s="130"/>
      <x:c r="T37" s="130"/>
      <x:c r="U37" s="130"/>
      <x:c r="V37" s="130"/>
      <x:c r="W37" s="130"/>
      <x:c r="X37" s="130"/>
      <x:c r="Y37" s="130"/>
      <x:c r="Z37" s="130"/>
      <x:c r="AA37" s="130"/>
      <x:c r="AB37" s="130"/>
      <x:c r="AC37" s="130"/>
      <x:c r="AD37" s="130"/>
      <x:c r="AE37" s="130"/>
      <x:c r="AF37" s="130"/>
      <x:c r="AG37" s="130"/>
      <x:c r="AH37" s="130"/>
      <x:c r="AI37" s="130"/>
      <x:c r="AJ37" s="130"/>
      <x:c r="AK37" s="130"/>
      <x:c r="AL37" s="130"/>
      <x:c r="AM37" s="130"/>
      <x:c r="AN37" s="130"/>
      <x:c r="AO37" s="130"/>
      <x:c r="AP37" s="130"/>
      <x:c r="AQ37" s="130"/>
      <x:c r="AR37" s="130"/>
      <x:c r="AS37" s="130"/>
      <x:c r="AT37" s="130"/>
      <x:c r="AU37" s="130"/>
      <x:c r="AV37" s="130"/>
      <x:c r="AW37" s="130"/>
      <x:c r="AX37" s="130"/>
      <x:c r="AY37" s="130"/>
      <x:c r="AZ37" s="130"/>
    </x:row>
    <x:row r="38">
      <x:c r="A38" s="130"/>
      <x:c r="B38" s="130"/>
      <x:c r="C38" s="130"/>
      <x:c r="D38" s="130"/>
      <x:c r="E38" s="130"/>
      <x:c r="F38" s="130"/>
      <x:c r="G38" s="130"/>
      <x:c r="H38" s="130"/>
      <x:c r="I38" s="130"/>
      <x:c r="J38" s="130"/>
      <x:c r="K38" s="130"/>
      <x:c r="L38" s="130"/>
      <x:c r="M38" s="130"/>
      <x:c r="N38" s="130"/>
      <x:c r="O38" s="130"/>
      <x:c r="P38" s="130"/>
      <x:c r="Q38" s="130"/>
      <x:c r="R38" s="130"/>
      <x:c r="S38" s="130"/>
      <x:c r="T38" s="130"/>
      <x:c r="U38" s="130"/>
      <x:c r="V38" s="130"/>
      <x:c r="W38" s="130"/>
      <x:c r="X38" s="130"/>
      <x:c r="Y38" s="130"/>
      <x:c r="Z38" s="130"/>
      <x:c r="AA38" s="130"/>
      <x:c r="AB38" s="130"/>
      <x:c r="AC38" s="130"/>
      <x:c r="AD38" s="130"/>
      <x:c r="AE38" s="130"/>
      <x:c r="AF38" s="130"/>
      <x:c r="AG38" s="130"/>
      <x:c r="AH38" s="130"/>
      <x:c r="AI38" s="130"/>
      <x:c r="AJ38" s="130"/>
      <x:c r="AK38" s="130"/>
      <x:c r="AL38" s="130"/>
      <x:c r="AM38" s="130"/>
      <x:c r="AN38" s="130"/>
      <x:c r="AO38" s="130"/>
      <x:c r="AP38" s="130"/>
      <x:c r="AQ38" s="130"/>
      <x:c r="AR38" s="130"/>
      <x:c r="AS38" s="130"/>
      <x:c r="AT38" s="130"/>
      <x:c r="AU38" s="130"/>
      <x:c r="AV38" s="130"/>
      <x:c r="AW38" s="130"/>
      <x:c r="AX38" s="130"/>
      <x:c r="AY38" s="130"/>
      <x:c r="AZ38" s="130"/>
    </x:row>
    <x:row r="39">
      <x:c r="A39" s="130"/>
      <x:c r="B39" s="130"/>
      <x:c r="C39" s="130"/>
      <x:c r="D39" s="130"/>
      <x:c r="E39" s="130"/>
      <x:c r="F39" s="130"/>
      <x:c r="G39" s="130"/>
      <x:c r="H39" s="130"/>
      <x:c r="I39" s="130"/>
      <x:c r="J39" s="130"/>
      <x:c r="K39" s="130"/>
      <x:c r="L39" s="130"/>
      <x:c r="M39" s="130"/>
      <x:c r="N39" s="130"/>
      <x:c r="O39" s="130"/>
      <x:c r="P39" s="130"/>
      <x:c r="Q39" s="130"/>
      <x:c r="R39" s="130"/>
      <x:c r="S39" s="130"/>
      <x:c r="T39" s="130"/>
      <x:c r="U39" s="130"/>
      <x:c r="V39" s="130"/>
      <x:c r="W39" s="130"/>
      <x:c r="X39" s="130"/>
      <x:c r="Y39" s="130"/>
      <x:c r="Z39" s="130"/>
      <x:c r="AA39" s="130"/>
      <x:c r="AB39" s="130"/>
      <x:c r="AC39" s="130"/>
      <x:c r="AD39" s="130"/>
      <x:c r="AE39" s="130"/>
      <x:c r="AF39" s="130"/>
      <x:c r="AG39" s="130"/>
      <x:c r="AH39" s="130"/>
      <x:c r="AI39" s="130"/>
      <x:c r="AJ39" s="130"/>
      <x:c r="AK39" s="130"/>
      <x:c r="AL39" s="130"/>
      <x:c r="AM39" s="130"/>
      <x:c r="AN39" s="130"/>
      <x:c r="AO39" s="130"/>
      <x:c r="AP39" s="130"/>
      <x:c r="AQ39" s="130"/>
      <x:c r="AR39" s="130"/>
      <x:c r="AS39" s="130"/>
      <x:c r="AT39" s="130"/>
      <x:c r="AU39" s="130"/>
      <x:c r="AV39" s="130"/>
      <x:c r="AW39" s="130"/>
      <x:c r="AX39" s="130"/>
      <x:c r="AY39" s="130"/>
      <x:c r="AZ39" s="130"/>
    </x:row>
    <x:row r="40">
      <x:c r="A40" s="130"/>
      <x:c r="B40" s="130"/>
      <x:c r="C40" s="130"/>
      <x:c r="D40" s="130"/>
      <x:c r="E40" s="130"/>
      <x:c r="F40" s="130"/>
      <x:c r="G40" s="130"/>
      <x:c r="H40" s="130"/>
      <x:c r="I40" s="130"/>
      <x:c r="J40" s="130"/>
      <x:c r="K40" s="130"/>
      <x:c r="L40" s="130"/>
      <x:c r="M40" s="130"/>
      <x:c r="N40" s="130"/>
      <x:c r="O40" s="130"/>
      <x:c r="P40" s="130"/>
      <x:c r="Q40" s="130"/>
      <x:c r="R40" s="130"/>
      <x:c r="S40" s="130"/>
      <x:c r="T40" s="130"/>
      <x:c r="U40" s="130"/>
      <x:c r="V40" s="130"/>
      <x:c r="W40" s="130"/>
      <x:c r="X40" s="130"/>
      <x:c r="Y40" s="130"/>
      <x:c r="Z40" s="130"/>
      <x:c r="AA40" s="130"/>
      <x:c r="AB40" s="130"/>
      <x:c r="AC40" s="130"/>
      <x:c r="AD40" s="130"/>
      <x:c r="AE40" s="130"/>
      <x:c r="AF40" s="130"/>
      <x:c r="AG40" s="130"/>
      <x:c r="AH40" s="130"/>
      <x:c r="AI40" s="130"/>
      <x:c r="AJ40" s="130"/>
      <x:c r="AK40" s="130"/>
      <x:c r="AL40" s="130"/>
      <x:c r="AM40" s="130"/>
      <x:c r="AN40" s="130"/>
      <x:c r="AO40" s="130"/>
      <x:c r="AP40" s="130"/>
      <x:c r="AQ40" s="130"/>
      <x:c r="AR40" s="130"/>
      <x:c r="AS40" s="130"/>
      <x:c r="AT40" s="130"/>
      <x:c r="AU40" s="130"/>
      <x:c r="AV40" s="130"/>
      <x:c r="AW40" s="130"/>
      <x:c r="AX40" s="130"/>
      <x:c r="AY40" s="130"/>
      <x:c r="AZ40" s="130"/>
    </x:row>
    <x:row r="41">
      <x:c r="A41" s="130"/>
      <x:c r="B41" s="130"/>
      <x:c r="C41" s="130"/>
      <x:c r="D41" s="130"/>
      <x:c r="E41" s="130"/>
      <x:c r="F41" s="130"/>
      <x:c r="G41" s="130"/>
      <x:c r="H41" s="130"/>
      <x:c r="I41" s="130"/>
      <x:c r="J41" s="130"/>
      <x:c r="K41" s="130"/>
      <x:c r="L41" s="130"/>
      <x:c r="M41" s="130"/>
      <x:c r="N41" s="130"/>
      <x:c r="O41" s="130"/>
      <x:c r="P41" s="130"/>
      <x:c r="Q41" s="130"/>
      <x:c r="R41" s="130"/>
      <x:c r="S41" s="130"/>
      <x:c r="T41" s="130"/>
      <x:c r="U41" s="130"/>
      <x:c r="V41" s="130"/>
      <x:c r="W41" s="130"/>
      <x:c r="X41" s="130"/>
      <x:c r="Y41" s="130"/>
      <x:c r="Z41" s="130"/>
      <x:c r="AA41" s="130"/>
      <x:c r="AB41" s="130"/>
      <x:c r="AC41" s="130"/>
      <x:c r="AD41" s="130"/>
      <x:c r="AE41" s="130"/>
      <x:c r="AF41" s="130"/>
      <x:c r="AG41" s="130"/>
      <x:c r="AH41" s="130"/>
      <x:c r="AI41" s="130"/>
      <x:c r="AJ41" s="130"/>
      <x:c r="AK41" s="130"/>
      <x:c r="AL41" s="130"/>
      <x:c r="AM41" s="130"/>
      <x:c r="AN41" s="130"/>
      <x:c r="AO41" s="130"/>
      <x:c r="AP41" s="130"/>
      <x:c r="AQ41" s="130"/>
      <x:c r="AR41" s="130"/>
      <x:c r="AS41" s="130"/>
      <x:c r="AT41" s="130"/>
      <x:c r="AU41" s="130"/>
      <x:c r="AV41" s="130"/>
      <x:c r="AW41" s="130"/>
      <x:c r="AX41" s="130"/>
      <x:c r="AY41" s="130"/>
      <x:c r="AZ41" s="130"/>
    </x:row>
    <x:row r="42">
      <x:c r="A42" s="130"/>
      <x:c r="B42" s="130"/>
      <x:c r="C42" s="130"/>
      <x:c r="D42" s="130"/>
      <x:c r="E42" s="130"/>
      <x:c r="F42" s="130"/>
      <x:c r="G42" s="130"/>
      <x:c r="H42" s="130"/>
      <x:c r="I42" s="130"/>
      <x:c r="J42" s="130"/>
      <x:c r="K42" s="130"/>
      <x:c r="L42" s="130"/>
      <x:c r="M42" s="130"/>
      <x:c r="N42" s="130"/>
      <x:c r="O42" s="130"/>
      <x:c r="P42" s="130"/>
      <x:c r="Q42" s="130"/>
      <x:c r="R42" s="130"/>
      <x:c r="S42" s="130"/>
      <x:c r="T42" s="130"/>
      <x:c r="U42" s="130"/>
      <x:c r="V42" s="130"/>
      <x:c r="W42" s="130"/>
      <x:c r="X42" s="130"/>
      <x:c r="Y42" s="130"/>
      <x:c r="Z42" s="130"/>
      <x:c r="AA42" s="130"/>
      <x:c r="AB42" s="130"/>
      <x:c r="AC42" s="130"/>
      <x:c r="AD42" s="130"/>
      <x:c r="AE42" s="130"/>
      <x:c r="AF42" s="130"/>
      <x:c r="AG42" s="130"/>
      <x:c r="AH42" s="130"/>
      <x:c r="AI42" s="130"/>
      <x:c r="AJ42" s="130"/>
      <x:c r="AK42" s="130"/>
      <x:c r="AL42" s="130"/>
      <x:c r="AM42" s="130"/>
      <x:c r="AN42" s="130"/>
      <x:c r="AO42" s="130"/>
      <x:c r="AP42" s="130"/>
      <x:c r="AQ42" s="130"/>
      <x:c r="AR42" s="130"/>
      <x:c r="AS42" s="130"/>
      <x:c r="AT42" s="130"/>
      <x:c r="AU42" s="130"/>
      <x:c r="AV42" s="130"/>
      <x:c r="AW42" s="130"/>
      <x:c r="AX42" s="130"/>
      <x:c r="AY42" s="130"/>
      <x:c r="AZ42" s="130"/>
    </x:row>
    <x:row r="43">
      <x:c r="A43" s="130"/>
      <x:c r="B43" s="130"/>
      <x:c r="C43" s="130"/>
      <x:c r="D43" s="130"/>
      <x:c r="E43" s="130"/>
      <x:c r="F43" s="130"/>
      <x:c r="G43" s="130"/>
      <x:c r="H43" s="130"/>
      <x:c r="I43" s="130"/>
      <x:c r="J43" s="130"/>
      <x:c r="K43" s="130"/>
      <x:c r="L43" s="130"/>
      <x:c r="M43" s="130"/>
      <x:c r="N43" s="130"/>
      <x:c r="O43" s="130"/>
      <x:c r="P43" s="130"/>
      <x:c r="Q43" s="130"/>
      <x:c r="R43" s="130"/>
      <x:c r="S43" s="130"/>
      <x:c r="T43" s="130"/>
      <x:c r="U43" s="130"/>
      <x:c r="V43" s="130"/>
      <x:c r="W43" s="130"/>
      <x:c r="X43" s="130"/>
      <x:c r="Y43" s="130"/>
      <x:c r="Z43" s="130"/>
      <x:c r="AA43" s="130"/>
      <x:c r="AB43" s="130"/>
      <x:c r="AC43" s="130"/>
      <x:c r="AD43" s="130"/>
      <x:c r="AE43" s="130"/>
      <x:c r="AF43" s="130"/>
      <x:c r="AG43" s="130"/>
      <x:c r="AH43" s="130"/>
      <x:c r="AI43" s="130"/>
      <x:c r="AJ43" s="130"/>
      <x:c r="AK43" s="130"/>
      <x:c r="AL43" s="130"/>
      <x:c r="AM43" s="130"/>
      <x:c r="AN43" s="130"/>
      <x:c r="AO43" s="130"/>
      <x:c r="AP43" s="130"/>
      <x:c r="AQ43" s="130"/>
      <x:c r="AR43" s="130"/>
      <x:c r="AS43" s="130"/>
      <x:c r="AT43" s="130"/>
      <x:c r="AU43" s="130"/>
      <x:c r="AV43" s="130"/>
      <x:c r="AW43" s="130"/>
      <x:c r="AX43" s="130"/>
      <x:c r="AY43" s="130"/>
      <x:c r="AZ43" s="130"/>
    </x:row>
    <x:row r="44">
      <x:c r="A44" s="130"/>
      <x:c r="B44" s="130"/>
      <x:c r="C44" s="130"/>
      <x:c r="D44" s="130"/>
      <x:c r="E44" s="130"/>
      <x:c r="F44" s="130"/>
      <x:c r="G44" s="130"/>
      <x:c r="H44" s="130"/>
      <x:c r="I44" s="130"/>
      <x:c r="J44" s="130"/>
      <x:c r="K44" s="130"/>
      <x:c r="L44" s="130"/>
      <x:c r="M44" s="130"/>
      <x:c r="N44" s="130"/>
      <x:c r="O44" s="130"/>
      <x:c r="P44" s="130"/>
      <x:c r="Q44" s="130"/>
      <x:c r="R44" s="130"/>
      <x:c r="S44" s="130"/>
      <x:c r="T44" s="130"/>
      <x:c r="U44" s="130"/>
      <x:c r="V44" s="130"/>
      <x:c r="W44" s="130"/>
      <x:c r="X44" s="130"/>
      <x:c r="Y44" s="130"/>
      <x:c r="Z44" s="130"/>
      <x:c r="AA44" s="130"/>
      <x:c r="AB44" s="130"/>
      <x:c r="AC44" s="130"/>
      <x:c r="AD44" s="130"/>
      <x:c r="AE44" s="130"/>
      <x:c r="AF44" s="130"/>
      <x:c r="AG44" s="130"/>
      <x:c r="AH44" s="130"/>
      <x:c r="AI44" s="130"/>
      <x:c r="AJ44" s="130"/>
      <x:c r="AK44" s="130"/>
      <x:c r="AL44" s="130"/>
      <x:c r="AM44" s="130"/>
      <x:c r="AN44" s="130"/>
      <x:c r="AO44" s="130"/>
      <x:c r="AP44" s="130"/>
      <x:c r="AQ44" s="130"/>
      <x:c r="AR44" s="130"/>
      <x:c r="AS44" s="130"/>
      <x:c r="AT44" s="130"/>
      <x:c r="AU44" s="130"/>
      <x:c r="AV44" s="130"/>
      <x:c r="AW44" s="130"/>
      <x:c r="AX44" s="130"/>
      <x:c r="AY44" s="130"/>
      <x:c r="AZ44" s="130"/>
    </x:row>
    <x:row r="45">
      <x:c r="A45" s="130"/>
      <x:c r="B45" s="130"/>
      <x:c r="C45" s="130"/>
      <x:c r="D45" s="130"/>
      <x:c r="E45" s="130"/>
      <x:c r="F45" s="130"/>
      <x:c r="G45" s="130"/>
      <x:c r="H45" s="130"/>
      <x:c r="I45" s="130"/>
      <x:c r="J45" s="130"/>
      <x:c r="K45" s="130"/>
      <x:c r="L45" s="130"/>
      <x:c r="M45" s="130"/>
      <x:c r="N45" s="130"/>
      <x:c r="O45" s="130"/>
      <x:c r="P45" s="130"/>
      <x:c r="Q45" s="130"/>
      <x:c r="R45" s="130"/>
      <x:c r="S45" s="130"/>
      <x:c r="T45" s="130"/>
      <x:c r="U45" s="130"/>
      <x:c r="V45" s="130"/>
      <x:c r="W45" s="130"/>
      <x:c r="X45" s="130"/>
      <x:c r="Y45" s="130"/>
      <x:c r="Z45" s="130"/>
      <x:c r="AA45" s="130"/>
      <x:c r="AB45" s="130"/>
      <x:c r="AC45" s="130"/>
      <x:c r="AD45" s="130"/>
      <x:c r="AE45" s="130"/>
      <x:c r="AF45" s="130"/>
      <x:c r="AG45" s="130"/>
      <x:c r="AH45" s="130"/>
      <x:c r="AI45" s="130"/>
      <x:c r="AJ45" s="130"/>
      <x:c r="AK45" s="130"/>
      <x:c r="AL45" s="130"/>
      <x:c r="AM45" s="130"/>
      <x:c r="AN45" s="130"/>
      <x:c r="AO45" s="130"/>
      <x:c r="AP45" s="130"/>
      <x:c r="AQ45" s="130"/>
      <x:c r="AR45" s="130"/>
      <x:c r="AS45" s="130"/>
      <x:c r="AT45" s="130"/>
      <x:c r="AU45" s="130"/>
      <x:c r="AV45" s="130"/>
      <x:c r="AW45" s="130"/>
      <x:c r="AX45" s="130"/>
      <x:c r="AY45" s="130"/>
      <x:c r="AZ45" s="130"/>
    </x:row>
    <x:row r="46">
      <x:c r="A46" s="130"/>
      <x:c r="B46" s="130"/>
      <x:c r="C46" s="130"/>
      <x:c r="D46" s="130"/>
      <x:c r="E46" s="130"/>
      <x:c r="F46" s="130"/>
      <x:c r="G46" s="130"/>
      <x:c r="H46" s="130"/>
      <x:c r="I46" s="130"/>
      <x:c r="J46" s="130"/>
      <x:c r="K46" s="130"/>
      <x:c r="L46" s="130"/>
      <x:c r="M46" s="130"/>
      <x:c r="N46" s="130"/>
      <x:c r="O46" s="130"/>
      <x:c r="P46" s="130"/>
      <x:c r="Q46" s="130"/>
      <x:c r="R46" s="130"/>
      <x:c r="S46" s="130"/>
      <x:c r="T46" s="130"/>
      <x:c r="U46" s="130"/>
      <x:c r="V46" s="130"/>
      <x:c r="W46" s="130"/>
      <x:c r="X46" s="130"/>
      <x:c r="Y46" s="130"/>
      <x:c r="Z46" s="130"/>
      <x:c r="AA46" s="130"/>
      <x:c r="AB46" s="130"/>
      <x:c r="AC46" s="130"/>
      <x:c r="AD46" s="130"/>
      <x:c r="AE46" s="130"/>
      <x:c r="AF46" s="130"/>
      <x:c r="AG46" s="130"/>
      <x:c r="AH46" s="130"/>
      <x:c r="AI46" s="130"/>
      <x:c r="AJ46" s="130"/>
      <x:c r="AK46" s="130"/>
      <x:c r="AL46" s="130"/>
      <x:c r="AM46" s="130"/>
      <x:c r="AN46" s="130"/>
      <x:c r="AO46" s="130"/>
      <x:c r="AP46" s="130"/>
      <x:c r="AQ46" s="130"/>
      <x:c r="AR46" s="130"/>
      <x:c r="AS46" s="130"/>
      <x:c r="AT46" s="130"/>
      <x:c r="AU46" s="130"/>
      <x:c r="AV46" s="130"/>
      <x:c r="AW46" s="130"/>
      <x:c r="AX46" s="130"/>
      <x:c r="AY46" s="130"/>
      <x:c r="AZ46" s="130"/>
    </x:row>
    <x:row r="47">
      <x:c r="A47" s="130"/>
      <x:c r="B47" s="130"/>
      <x:c r="C47" s="130"/>
      <x:c r="D47" s="130"/>
      <x:c r="E47" s="130"/>
      <x:c r="F47" s="130"/>
      <x:c r="G47" s="130"/>
      <x:c r="H47" s="130"/>
      <x:c r="I47" s="130"/>
      <x:c r="J47" s="130"/>
      <x:c r="K47" s="130"/>
      <x:c r="L47" s="130"/>
      <x:c r="M47" s="130"/>
      <x:c r="N47" s="130"/>
      <x:c r="O47" s="130"/>
      <x:c r="P47" s="130"/>
      <x:c r="Q47" s="130"/>
      <x:c r="R47" s="130"/>
      <x:c r="S47" s="130"/>
      <x:c r="T47" s="130"/>
      <x:c r="U47" s="130"/>
      <x:c r="V47" s="130"/>
      <x:c r="W47" s="130"/>
      <x:c r="X47" s="130"/>
      <x:c r="Y47" s="130"/>
      <x:c r="Z47" s="130"/>
      <x:c r="AA47" s="130"/>
      <x:c r="AB47" s="130"/>
      <x:c r="AC47" s="130"/>
      <x:c r="AD47" s="130"/>
      <x:c r="AE47" s="130"/>
      <x:c r="AF47" s="130"/>
      <x:c r="AG47" s="130"/>
      <x:c r="AH47" s="130"/>
      <x:c r="AI47" s="130"/>
      <x:c r="AJ47" s="130"/>
      <x:c r="AK47" s="130"/>
      <x:c r="AL47" s="130"/>
      <x:c r="AM47" s="130"/>
      <x:c r="AN47" s="130"/>
      <x:c r="AO47" s="130"/>
      <x:c r="AP47" s="130"/>
      <x:c r="AQ47" s="130"/>
      <x:c r="AR47" s="130"/>
      <x:c r="AS47" s="130"/>
      <x:c r="AT47" s="130"/>
      <x:c r="AU47" s="130"/>
      <x:c r="AV47" s="130"/>
      <x:c r="AW47" s="130"/>
      <x:c r="AX47" s="130"/>
      <x:c r="AY47" s="130"/>
      <x:c r="AZ47" s="130"/>
    </x:row>
    <x:row r="48">
      <x:c r="A48" s="130"/>
      <x:c r="B48" s="130"/>
      <x:c r="C48" s="130"/>
      <x:c r="D48" s="130"/>
      <x:c r="E48" s="130"/>
      <x:c r="F48" s="130"/>
      <x:c r="G48" s="130"/>
      <x:c r="H48" s="130"/>
      <x:c r="I48" s="130"/>
      <x:c r="J48" s="130"/>
      <x:c r="K48" s="130"/>
      <x:c r="L48" s="130"/>
      <x:c r="M48" s="130"/>
      <x:c r="N48" s="130"/>
      <x:c r="O48" s="130"/>
      <x:c r="P48" s="130"/>
      <x:c r="Q48" s="130"/>
      <x:c r="R48" s="130"/>
      <x:c r="S48" s="130"/>
      <x:c r="T48" s="130"/>
      <x:c r="U48" s="130"/>
      <x:c r="V48" s="130"/>
      <x:c r="W48" s="130"/>
      <x:c r="X48" s="130"/>
      <x:c r="Y48" s="130"/>
      <x:c r="Z48" s="130"/>
      <x:c r="AA48" s="130"/>
      <x:c r="AB48" s="130"/>
      <x:c r="AC48" s="130"/>
      <x:c r="AD48" s="130"/>
      <x:c r="AE48" s="130"/>
      <x:c r="AF48" s="130"/>
      <x:c r="AG48" s="130"/>
      <x:c r="AH48" s="130"/>
      <x:c r="AI48" s="130"/>
      <x:c r="AJ48" s="130"/>
      <x:c r="AK48" s="130"/>
      <x:c r="AL48" s="130"/>
      <x:c r="AM48" s="130"/>
      <x:c r="AN48" s="130"/>
      <x:c r="AO48" s="130"/>
      <x:c r="AP48" s="130"/>
      <x:c r="AQ48" s="130"/>
      <x:c r="AR48" s="130"/>
      <x:c r="AS48" s="130"/>
      <x:c r="AT48" s="130"/>
      <x:c r="AU48" s="130"/>
      <x:c r="AV48" s="130"/>
      <x:c r="AW48" s="130"/>
      <x:c r="AX48" s="130"/>
      <x:c r="AY48" s="130"/>
      <x:c r="AZ48" s="130"/>
    </x:row>
    <x:row r="49">
      <x:c r="A49" s="130"/>
      <x:c r="B49" s="130"/>
      <x:c r="C49" s="130"/>
      <x:c r="D49" s="130"/>
      <x:c r="E49" s="130"/>
      <x:c r="F49" s="130"/>
      <x:c r="G49" s="130"/>
      <x:c r="H49" s="130"/>
      <x:c r="I49" s="130"/>
      <x:c r="J49" s="130"/>
      <x:c r="K49" s="130"/>
      <x:c r="L49" s="130"/>
      <x:c r="M49" s="130"/>
      <x:c r="N49" s="130"/>
      <x:c r="O49" s="130"/>
      <x:c r="P49" s="130"/>
      <x:c r="Q49" s="130"/>
      <x:c r="R49" s="130"/>
      <x:c r="S49" s="130"/>
      <x:c r="T49" s="130"/>
      <x:c r="U49" s="130"/>
      <x:c r="V49" s="130"/>
      <x:c r="W49" s="130"/>
      <x:c r="X49" s="130"/>
      <x:c r="Y49" s="130"/>
      <x:c r="Z49" s="130"/>
      <x:c r="AA49" s="130"/>
      <x:c r="AB49" s="130"/>
      <x:c r="AC49" s="130"/>
      <x:c r="AD49" s="130"/>
      <x:c r="AE49" s="130"/>
      <x:c r="AF49" s="130"/>
      <x:c r="AG49" s="130"/>
      <x:c r="AH49" s="130"/>
      <x:c r="AI49" s="130"/>
      <x:c r="AJ49" s="130"/>
      <x:c r="AK49" s="130"/>
      <x:c r="AL49" s="130"/>
      <x:c r="AM49" s="130"/>
      <x:c r="AN49" s="130"/>
      <x:c r="AO49" s="130"/>
      <x:c r="AP49" s="130"/>
      <x:c r="AQ49" s="130"/>
      <x:c r="AR49" s="130"/>
      <x:c r="AS49" s="130"/>
      <x:c r="AT49" s="130"/>
      <x:c r="AU49" s="130"/>
      <x:c r="AV49" s="130"/>
      <x:c r="AW49" s="130"/>
      <x:c r="AX49" s="130"/>
      <x:c r="AY49" s="130"/>
      <x:c r="AZ49" s="130"/>
    </x:row>
    <x:row r="50">
      <x:c r="A50" s="130"/>
      <x:c r="B50" s="130"/>
      <x:c r="C50" s="130"/>
      <x:c r="D50" s="130"/>
      <x:c r="E50" s="130"/>
      <x:c r="F50" s="130"/>
      <x:c r="G50" s="130"/>
      <x:c r="H50" s="130"/>
      <x:c r="I50" s="130"/>
      <x:c r="J50" s="130"/>
      <x:c r="K50" s="130"/>
      <x:c r="L50" s="130"/>
      <x:c r="M50" s="130"/>
      <x:c r="N50" s="130"/>
      <x:c r="O50" s="130"/>
      <x:c r="P50" s="130"/>
      <x:c r="Q50" s="130"/>
      <x:c r="R50" s="130"/>
      <x:c r="S50" s="130"/>
      <x:c r="T50" s="130"/>
      <x:c r="U50" s="130"/>
      <x:c r="V50" s="130"/>
      <x:c r="W50" s="130"/>
      <x:c r="X50" s="130"/>
      <x:c r="Y50" s="130"/>
      <x:c r="Z50" s="130"/>
      <x:c r="AA50" s="130"/>
      <x:c r="AB50" s="130"/>
      <x:c r="AC50" s="130"/>
      <x:c r="AD50" s="130"/>
      <x:c r="AE50" s="130"/>
      <x:c r="AF50" s="130"/>
      <x:c r="AG50" s="130"/>
      <x:c r="AH50" s="130"/>
      <x:c r="AI50" s="130"/>
      <x:c r="AJ50" s="130"/>
      <x:c r="AK50" s="130"/>
      <x:c r="AL50" s="130"/>
      <x:c r="AM50" s="130"/>
      <x:c r="AN50" s="130"/>
      <x:c r="AO50" s="130"/>
      <x:c r="AP50" s="130"/>
      <x:c r="AQ50" s="130"/>
      <x:c r="AR50" s="130"/>
      <x:c r="AS50" s="130"/>
      <x:c r="AT50" s="130"/>
      <x:c r="AU50" s="130"/>
      <x:c r="AV50" s="130"/>
      <x:c r="AW50" s="130"/>
      <x:c r="AX50" s="130"/>
      <x:c r="AY50" s="130"/>
      <x:c r="AZ50" s="130"/>
    </x:row>
    <x:row r="51">
      <x:c r="A51" s="130"/>
      <x:c r="B51" s="130"/>
      <x:c r="C51" s="130"/>
      <x:c r="D51" s="130"/>
      <x:c r="E51" s="130"/>
      <x:c r="F51" s="130"/>
      <x:c r="G51" s="130"/>
      <x:c r="H51" s="130"/>
      <x:c r="I51" s="130"/>
      <x:c r="J51" s="130"/>
      <x:c r="K51" s="130"/>
      <x:c r="L51" s="130"/>
      <x:c r="M51" s="130"/>
      <x:c r="N51" s="130"/>
      <x:c r="O51" s="130"/>
      <x:c r="P51" s="130"/>
      <x:c r="Q51" s="130"/>
      <x:c r="R51" s="130"/>
      <x:c r="S51" s="130"/>
      <x:c r="T51" s="130"/>
      <x:c r="U51" s="130"/>
      <x:c r="V51" s="130"/>
      <x:c r="W51" s="130"/>
      <x:c r="X51" s="130"/>
      <x:c r="Y51" s="130"/>
      <x:c r="Z51" s="130"/>
      <x:c r="AA51" s="130"/>
      <x:c r="AB51" s="130"/>
      <x:c r="AC51" s="130"/>
      <x:c r="AD51" s="130"/>
      <x:c r="AE51" s="130"/>
      <x:c r="AF51" s="130"/>
      <x:c r="AG51" s="130"/>
      <x:c r="AH51" s="130"/>
      <x:c r="AI51" s="130"/>
      <x:c r="AJ51" s="130"/>
      <x:c r="AK51" s="130"/>
      <x:c r="AL51" s="130"/>
      <x:c r="AM51" s="130"/>
      <x:c r="AN51" s="130"/>
      <x:c r="AO51" s="130"/>
      <x:c r="AP51" s="130"/>
      <x:c r="AQ51" s="130"/>
      <x:c r="AR51" s="130"/>
      <x:c r="AS51" s="130"/>
      <x:c r="AT51" s="130"/>
      <x:c r="AU51" s="130"/>
      <x:c r="AV51" s="130"/>
      <x:c r="AW51" s="130"/>
      <x:c r="AX51" s="130"/>
      <x:c r="AY51" s="130"/>
      <x:c r="AZ51" s="130"/>
    </x:row>
    <x:row r="52">
      <x:c r="A52" s="130"/>
      <x:c r="B52" s="130"/>
      <x:c r="C52" s="130"/>
      <x:c r="D52" s="130"/>
      <x:c r="E52" s="130"/>
      <x:c r="F52" s="130"/>
      <x:c r="G52" s="130"/>
      <x:c r="H52" s="130"/>
      <x:c r="I52" s="130"/>
      <x:c r="J52" s="130"/>
      <x:c r="K52" s="130"/>
      <x:c r="L52" s="130"/>
      <x:c r="M52" s="130"/>
      <x:c r="N52" s="130"/>
      <x:c r="O52" s="130"/>
      <x:c r="P52" s="130"/>
      <x:c r="Q52" s="130"/>
      <x:c r="R52" s="130"/>
      <x:c r="S52" s="130"/>
      <x:c r="T52" s="130"/>
      <x:c r="U52" s="130"/>
      <x:c r="V52" s="130"/>
      <x:c r="W52" s="130"/>
      <x:c r="X52" s="130"/>
      <x:c r="Y52" s="130"/>
      <x:c r="Z52" s="130"/>
      <x:c r="AA52" s="130"/>
      <x:c r="AB52" s="130"/>
      <x:c r="AC52" s="130"/>
      <x:c r="AD52" s="130"/>
      <x:c r="AE52" s="130"/>
      <x:c r="AF52" s="130"/>
      <x:c r="AG52" s="130"/>
      <x:c r="AH52" s="130"/>
      <x:c r="AI52" s="130"/>
      <x:c r="AJ52" s="130"/>
      <x:c r="AK52" s="130"/>
      <x:c r="AL52" s="130"/>
      <x:c r="AM52" s="130"/>
      <x:c r="AN52" s="130"/>
      <x:c r="AO52" s="130"/>
      <x:c r="AP52" s="130"/>
      <x:c r="AQ52" s="130"/>
      <x:c r="AR52" s="130"/>
      <x:c r="AS52" s="130"/>
      <x:c r="AT52" s="130"/>
      <x:c r="AU52" s="130"/>
      <x:c r="AV52" s="130"/>
      <x:c r="AW52" s="130"/>
      <x:c r="AX52" s="130"/>
      <x:c r="AY52" s="130"/>
      <x:c r="AZ52" s="130"/>
    </x:row>
    <x:row r="53">
      <x:c r="A53" s="130"/>
      <x:c r="B53" s="130"/>
      <x:c r="C53" s="130"/>
      <x:c r="D53" s="130"/>
      <x:c r="E53" s="130"/>
      <x:c r="F53" s="130"/>
      <x:c r="G53" s="130"/>
      <x:c r="H53" s="130"/>
      <x:c r="I53" s="130"/>
      <x:c r="J53" s="130"/>
      <x:c r="K53" s="130"/>
      <x:c r="L53" s="130"/>
      <x:c r="M53" s="130"/>
      <x:c r="N53" s="130"/>
      <x:c r="O53" s="130"/>
      <x:c r="P53" s="130"/>
      <x:c r="Q53" s="130"/>
      <x:c r="R53" s="130"/>
      <x:c r="S53" s="130"/>
      <x:c r="T53" s="130"/>
      <x:c r="U53" s="130"/>
      <x:c r="V53" s="130"/>
      <x:c r="W53" s="130"/>
      <x:c r="X53" s="130"/>
      <x:c r="Y53" s="130"/>
      <x:c r="Z53" s="130"/>
      <x:c r="AA53" s="130"/>
      <x:c r="AB53" s="130"/>
      <x:c r="AC53" s="130"/>
      <x:c r="AD53" s="130"/>
      <x:c r="AE53" s="130"/>
      <x:c r="AF53" s="130"/>
      <x:c r="AG53" s="130"/>
      <x:c r="AH53" s="130"/>
      <x:c r="AI53" s="130"/>
      <x:c r="AJ53" s="130"/>
      <x:c r="AK53" s="130"/>
      <x:c r="AL53" s="130"/>
      <x:c r="AM53" s="130"/>
      <x:c r="AN53" s="130"/>
      <x:c r="AO53" s="130"/>
      <x:c r="AP53" s="130"/>
      <x:c r="AQ53" s="130"/>
      <x:c r="AR53" s="130"/>
      <x:c r="AS53" s="130"/>
      <x:c r="AT53" s="130"/>
      <x:c r="AU53" s="130"/>
      <x:c r="AV53" s="130"/>
      <x:c r="AW53" s="130"/>
      <x:c r="AX53" s="130"/>
      <x:c r="AY53" s="130"/>
      <x:c r="AZ53" s="130"/>
    </x:row>
    <x:row r="54">
      <x:c r="A54" s="130"/>
      <x:c r="B54" s="130"/>
      <x:c r="C54" s="130"/>
      <x:c r="D54" s="130"/>
      <x:c r="E54" s="130"/>
      <x:c r="F54" s="130"/>
      <x:c r="G54" s="130"/>
      <x:c r="H54" s="130"/>
      <x:c r="I54" s="130"/>
      <x:c r="J54" s="130"/>
      <x:c r="K54" s="130"/>
      <x:c r="L54" s="130"/>
      <x:c r="M54" s="130"/>
      <x:c r="N54" s="130"/>
      <x:c r="O54" s="130"/>
      <x:c r="P54" s="130"/>
      <x:c r="Q54" s="130"/>
      <x:c r="R54" s="130"/>
      <x:c r="S54" s="130"/>
      <x:c r="T54" s="130"/>
      <x:c r="U54" s="130"/>
      <x:c r="V54" s="130"/>
      <x:c r="W54" s="130"/>
      <x:c r="X54" s="130"/>
      <x:c r="Y54" s="130"/>
      <x:c r="Z54" s="130"/>
      <x:c r="AA54" s="130"/>
      <x:c r="AB54" s="130"/>
      <x:c r="AC54" s="130"/>
      <x:c r="AD54" s="130"/>
      <x:c r="AE54" s="130"/>
      <x:c r="AF54" s="130"/>
      <x:c r="AG54" s="130"/>
      <x:c r="AH54" s="130"/>
      <x:c r="AI54" s="130"/>
      <x:c r="AJ54" s="130"/>
      <x:c r="AK54" s="130"/>
      <x:c r="AL54" s="130"/>
      <x:c r="AM54" s="130"/>
      <x:c r="AN54" s="130"/>
      <x:c r="AO54" s="130"/>
      <x:c r="AP54" s="130"/>
      <x:c r="AQ54" s="130"/>
      <x:c r="AR54" s="130"/>
      <x:c r="AS54" s="130"/>
      <x:c r="AT54" s="130"/>
      <x:c r="AU54" s="130"/>
      <x:c r="AV54" s="130"/>
      <x:c r="AW54" s="130"/>
      <x:c r="AX54" s="130"/>
      <x:c r="AY54" s="130"/>
      <x:c r="AZ54" s="130"/>
    </x:row>
    <x:row r="55">
      <x:c r="A55" s="130"/>
      <x:c r="B55" s="130"/>
      <x:c r="C55" s="130"/>
      <x:c r="D55" s="130"/>
      <x:c r="E55" s="130"/>
      <x:c r="F55" s="130"/>
      <x:c r="G55" s="130"/>
      <x:c r="H55" s="130"/>
      <x:c r="I55" s="130"/>
      <x:c r="J55" s="130"/>
      <x:c r="K55" s="130"/>
      <x:c r="L55" s="130"/>
      <x:c r="M55" s="130"/>
      <x:c r="N55" s="130"/>
      <x:c r="O55" s="130"/>
      <x:c r="P55" s="130"/>
      <x:c r="Q55" s="130"/>
      <x:c r="R55" s="130"/>
      <x:c r="S55" s="130"/>
      <x:c r="T55" s="130"/>
      <x:c r="U55" s="130"/>
      <x:c r="V55" s="130"/>
      <x:c r="W55" s="130"/>
      <x:c r="X55" s="130"/>
      <x:c r="Y55" s="130"/>
      <x:c r="Z55" s="130"/>
      <x:c r="AA55" s="130"/>
      <x:c r="AB55" s="130"/>
      <x:c r="AC55" s="130"/>
      <x:c r="AD55" s="130"/>
      <x:c r="AE55" s="130"/>
      <x:c r="AF55" s="130"/>
      <x:c r="AG55" s="130"/>
      <x:c r="AH55" s="130"/>
      <x:c r="AI55" s="130"/>
      <x:c r="AJ55" s="130"/>
      <x:c r="AK55" s="130"/>
      <x:c r="AL55" s="130"/>
      <x:c r="AM55" s="130"/>
      <x:c r="AN55" s="130"/>
      <x:c r="AO55" s="130"/>
      <x:c r="AP55" s="130"/>
      <x:c r="AQ55" s="130"/>
      <x:c r="AR55" s="130"/>
      <x:c r="AS55" s="130"/>
      <x:c r="AT55" s="130"/>
      <x:c r="AU55" s="130"/>
      <x:c r="AV55" s="130"/>
      <x:c r="AW55" s="130"/>
      <x:c r="AX55" s="130"/>
      <x:c r="AY55" s="130"/>
      <x:c r="AZ55" s="130"/>
    </x:row>
    <x:row r="56">
      <x:c r="A56" s="130"/>
      <x:c r="B56" s="130"/>
      <x:c r="C56" s="130"/>
      <x:c r="D56" s="130"/>
      <x:c r="E56" s="130"/>
      <x:c r="F56" s="130"/>
      <x:c r="G56" s="130"/>
      <x:c r="H56" s="130"/>
      <x:c r="I56" s="130"/>
      <x:c r="J56" s="130"/>
      <x:c r="K56" s="130"/>
      <x:c r="L56" s="130"/>
      <x:c r="M56" s="130"/>
      <x:c r="N56" s="130"/>
      <x:c r="O56" s="130"/>
      <x:c r="P56" s="130"/>
      <x:c r="Q56" s="130"/>
      <x:c r="R56" s="130"/>
      <x:c r="S56" s="130"/>
      <x:c r="T56" s="130"/>
      <x:c r="U56" s="130"/>
      <x:c r="V56" s="130"/>
      <x:c r="W56" s="130"/>
      <x:c r="X56" s="130"/>
      <x:c r="Y56" s="130"/>
      <x:c r="Z56" s="130"/>
      <x:c r="AA56" s="130"/>
      <x:c r="AB56" s="130"/>
      <x:c r="AC56" s="130"/>
      <x:c r="AD56" s="130"/>
      <x:c r="AE56" s="130"/>
      <x:c r="AF56" s="130"/>
      <x:c r="AG56" s="130"/>
      <x:c r="AH56" s="130"/>
      <x:c r="AI56" s="130"/>
      <x:c r="AJ56" s="130"/>
      <x:c r="AK56" s="130"/>
      <x:c r="AL56" s="130"/>
      <x:c r="AM56" s="130"/>
      <x:c r="AN56" s="130"/>
      <x:c r="AO56" s="130"/>
      <x:c r="AP56" s="130"/>
      <x:c r="AQ56" s="130"/>
      <x:c r="AR56" s="130"/>
      <x:c r="AS56" s="130"/>
      <x:c r="AT56" s="130"/>
      <x:c r="AU56" s="130"/>
      <x:c r="AV56" s="130"/>
      <x:c r="AW56" s="130"/>
      <x:c r="AX56" s="130"/>
      <x:c r="AY56" s="130"/>
      <x:c r="AZ56" s="130"/>
    </x:row>
    <x:row r="57">
      <x:c r="A57" s="130"/>
      <x:c r="B57" s="130"/>
      <x:c r="C57" s="130"/>
      <x:c r="D57" s="130"/>
      <x:c r="E57" s="130"/>
      <x:c r="F57" s="130"/>
      <x:c r="G57" s="130"/>
      <x:c r="H57" s="130"/>
      <x:c r="I57" s="130"/>
      <x:c r="J57" s="130"/>
      <x:c r="K57" s="130"/>
      <x:c r="L57" s="130"/>
      <x:c r="M57" s="130"/>
      <x:c r="N57" s="130"/>
      <x:c r="O57" s="130"/>
      <x:c r="P57" s="130"/>
      <x:c r="Q57" s="130"/>
      <x:c r="R57" s="130"/>
      <x:c r="S57" s="130"/>
      <x:c r="T57" s="130"/>
      <x:c r="U57" s="130"/>
      <x:c r="V57" s="130"/>
      <x:c r="W57" s="130"/>
      <x:c r="X57" s="130"/>
      <x:c r="Y57" s="130"/>
      <x:c r="Z57" s="130"/>
      <x:c r="AA57" s="130"/>
      <x:c r="AB57" s="130"/>
      <x:c r="AC57" s="130"/>
      <x:c r="AD57" s="130"/>
      <x:c r="AE57" s="130"/>
      <x:c r="AF57" s="130"/>
      <x:c r="AG57" s="130"/>
      <x:c r="AH57" s="130"/>
      <x:c r="AI57" s="130"/>
      <x:c r="AJ57" s="130"/>
      <x:c r="AK57" s="130"/>
      <x:c r="AL57" s="130"/>
      <x:c r="AM57" s="130"/>
      <x:c r="AN57" s="130"/>
      <x:c r="AO57" s="130"/>
      <x:c r="AP57" s="130"/>
      <x:c r="AQ57" s="130"/>
      <x:c r="AR57" s="130"/>
      <x:c r="AS57" s="130"/>
      <x:c r="AT57" s="130"/>
      <x:c r="AU57" s="130"/>
      <x:c r="AV57" s="130"/>
      <x:c r="AW57" s="130"/>
      <x:c r="AX57" s="130"/>
      <x:c r="AY57" s="130"/>
      <x:c r="AZ57" s="130"/>
    </x:row>
    <x:row r="58">
      <x:c r="A58" s="130"/>
      <x:c r="B58" s="130"/>
      <x:c r="C58" s="130"/>
      <x:c r="D58" s="130"/>
      <x:c r="E58" s="130"/>
      <x:c r="F58" s="130"/>
      <x:c r="G58" s="130"/>
      <x:c r="H58" s="130"/>
      <x:c r="I58" s="130"/>
      <x:c r="J58" s="130"/>
      <x:c r="K58" s="130"/>
      <x:c r="L58" s="130"/>
      <x:c r="M58" s="130"/>
      <x:c r="N58" s="130"/>
      <x:c r="O58" s="130"/>
      <x:c r="P58" s="130"/>
      <x:c r="Q58" s="130"/>
      <x:c r="R58" s="130"/>
      <x:c r="S58" s="130"/>
      <x:c r="T58" s="130"/>
      <x:c r="U58" s="130"/>
      <x:c r="V58" s="130"/>
      <x:c r="W58" s="130"/>
      <x:c r="X58" s="130"/>
      <x:c r="Y58" s="130"/>
      <x:c r="Z58" s="130"/>
      <x:c r="AA58" s="130"/>
      <x:c r="AB58" s="130"/>
      <x:c r="AC58" s="130"/>
      <x:c r="AD58" s="130"/>
      <x:c r="AE58" s="130"/>
      <x:c r="AF58" s="130"/>
      <x:c r="AG58" s="130"/>
      <x:c r="AH58" s="130"/>
      <x:c r="AI58" s="130"/>
      <x:c r="AJ58" s="130"/>
      <x:c r="AK58" s="130"/>
      <x:c r="AL58" s="130"/>
      <x:c r="AM58" s="130"/>
      <x:c r="AN58" s="130"/>
      <x:c r="AO58" s="130"/>
      <x:c r="AP58" s="130"/>
      <x:c r="AQ58" s="130"/>
      <x:c r="AR58" s="130"/>
      <x:c r="AS58" s="130"/>
      <x:c r="AT58" s="130"/>
      <x:c r="AU58" s="130"/>
      <x:c r="AV58" s="130"/>
      <x:c r="AW58" s="130"/>
      <x:c r="AX58" s="130"/>
      <x:c r="AY58" s="130"/>
      <x:c r="AZ58" s="130"/>
    </x:row>
    <x:row r="59">
      <x:c r="A59" s="130"/>
      <x:c r="B59" s="130"/>
      <x:c r="C59" s="130"/>
      <x:c r="D59" s="130"/>
      <x:c r="E59" s="130"/>
      <x:c r="F59" s="130"/>
      <x:c r="G59" s="130"/>
      <x:c r="H59" s="130"/>
      <x:c r="I59" s="130"/>
      <x:c r="J59" s="130"/>
      <x:c r="K59" s="130"/>
      <x:c r="L59" s="130"/>
      <x:c r="M59" s="130"/>
      <x:c r="N59" s="130"/>
      <x:c r="O59" s="130"/>
      <x:c r="P59" s="130"/>
      <x:c r="Q59" s="130"/>
      <x:c r="R59" s="130"/>
      <x:c r="S59" s="130"/>
      <x:c r="T59" s="130"/>
      <x:c r="U59" s="130"/>
      <x:c r="V59" s="130"/>
      <x:c r="W59" s="130"/>
      <x:c r="X59" s="130"/>
      <x:c r="Y59" s="130"/>
      <x:c r="Z59" s="130"/>
      <x:c r="AA59" s="130"/>
      <x:c r="AB59" s="130"/>
      <x:c r="AC59" s="130"/>
      <x:c r="AD59" s="130"/>
      <x:c r="AE59" s="130"/>
      <x:c r="AF59" s="130"/>
      <x:c r="AG59" s="130"/>
      <x:c r="AH59" s="130"/>
      <x:c r="AI59" s="130"/>
      <x:c r="AJ59" s="130"/>
      <x:c r="AK59" s="130"/>
      <x:c r="AL59" s="130"/>
      <x:c r="AM59" s="130"/>
      <x:c r="AN59" s="130"/>
      <x:c r="AO59" s="130"/>
      <x:c r="AP59" s="130"/>
      <x:c r="AQ59" s="130"/>
      <x:c r="AR59" s="130"/>
      <x:c r="AS59" s="130"/>
      <x:c r="AT59" s="130"/>
      <x:c r="AU59" s="130"/>
      <x:c r="AV59" s="130"/>
      <x:c r="AW59" s="130"/>
      <x:c r="AX59" s="130"/>
      <x:c r="AY59" s="130"/>
      <x:c r="AZ59" s="130"/>
    </x:row>
    <x:row r="60">
      <x:c r="A60" s="130"/>
      <x:c r="B60" s="130"/>
      <x:c r="C60" s="130"/>
      <x:c r="D60" s="130"/>
      <x:c r="E60" s="130"/>
      <x:c r="F60" s="130"/>
      <x:c r="G60" s="130"/>
      <x:c r="H60" s="130"/>
      <x:c r="I60" s="130"/>
      <x:c r="J60" s="130"/>
      <x:c r="K60" s="130"/>
      <x:c r="L60" s="130"/>
      <x:c r="M60" s="130"/>
      <x:c r="N60" s="130"/>
      <x:c r="O60" s="130"/>
      <x:c r="P60" s="130"/>
      <x:c r="Q60" s="130"/>
      <x:c r="R60" s="130"/>
      <x:c r="S60" s="130"/>
      <x:c r="T60" s="130"/>
      <x:c r="U60" s="130"/>
      <x:c r="V60" s="130"/>
      <x:c r="W60" s="130"/>
      <x:c r="X60" s="130"/>
      <x:c r="Y60" s="130"/>
      <x:c r="Z60" s="130"/>
      <x:c r="AA60" s="130"/>
      <x:c r="AB60" s="130"/>
      <x:c r="AC60" s="130"/>
      <x:c r="AD60" s="130"/>
      <x:c r="AE60" s="130"/>
      <x:c r="AF60" s="130"/>
      <x:c r="AG60" s="130"/>
      <x:c r="AH60" s="130"/>
      <x:c r="AI60" s="130"/>
      <x:c r="AJ60" s="130"/>
      <x:c r="AK60" s="130"/>
      <x:c r="AL60" s="130"/>
      <x:c r="AM60" s="130"/>
      <x:c r="AN60" s="130"/>
      <x:c r="AO60" s="130"/>
      <x:c r="AP60" s="130"/>
      <x:c r="AQ60" s="130"/>
      <x:c r="AR60" s="130"/>
      <x:c r="AS60" s="130"/>
      <x:c r="AT60" s="130"/>
      <x:c r="AU60" s="130"/>
      <x:c r="AV60" s="130"/>
      <x:c r="AW60" s="130"/>
      <x:c r="AX60" s="130"/>
      <x:c r="AY60" s="130"/>
      <x:c r="AZ60" s="130"/>
    </x:row>
  </x:sheetData>
  <x:mergeCells>
    <x:mergeCell ref="A1:H2"/>
  </x:mergeCells>
  <x:pageMargins left="0.7" right="0.7" top="0.75" bottom="0.75" header="0.3" footer="0.3"/>
  <x:tableParts count="1">
    <x:tablePart xmlns:r="http://schemas.openxmlformats.org/officeDocument/2006/relationships" r:id="R5ab6e5211e154c71"/>
  </x:tableParts>
</x:worksheet>
</file>

<file path=xl/worksheets/sheet5.xml><?xml version="1.0" encoding="utf-8"?>
<x:worksheet xmlns:x="http://schemas.openxmlformats.org/spreadsheetml/2006/main">
  <x:sheetFormatPr defaultRowHeight="15"/>
  <x:cols>
    <x:col min="1" max="1" width="32" hidden="0" customWidth="1"/>
    <x:col min="2" max="2" width="32" hidden="0" customWidth="1"/>
    <x:col min="3" max="3" width="18" hidden="0" customWidth="1"/>
    <x:col min="4" max="4" width="18" hidden="0" customWidth="1"/>
    <x:col min="5" max="5" width="18" hidden="0" customWidth="1"/>
    <x:col min="6" max="6" width="40" hidden="0" customWidth="1"/>
    <x:col min="7" max="7" width="40" hidden="0" customWidth="1"/>
    <x:col min="8" max="8" width="40" hidden="0" customWidth="1"/>
  </x:cols>
  <x:sheetData>
    <x:row r="1">
      <x:c r="A1" s="5" t="str">
        <x:v>Plant specifications and comparator assumptions</x:v>
      </x:c>
      <x:c r="B1" s="5"/>
      <x:c r="C1" s="5"/>
      <x:c r="D1" s="5"/>
      <x:c r="E1" s="5"/>
      <x:c r="F1" s="5"/>
      <x:c r="G1" s="5"/>
      <x:c r="H1" s="5"/>
      <x:c r="I1" s="130"/>
      <x:c r="J1" s="130"/>
      <x:c r="K1" s="130"/>
      <x:c r="L1" s="130"/>
      <x:c r="M1" s="130"/>
      <x:c r="N1" s="130"/>
      <x:c r="O1" s="130"/>
      <x:c r="P1" s="130"/>
      <x:c r="Q1" s="130"/>
      <x:c r="R1" s="130"/>
      <x:c r="S1" s="130"/>
      <x:c r="T1" s="130"/>
      <x:c r="U1" s="130"/>
      <x:c r="V1" s="130"/>
      <x:c r="W1" s="130"/>
      <x:c r="X1" s="130"/>
      <x:c r="Y1" s="130"/>
      <x:c r="Z1" s="130"/>
      <x:c r="AA1" s="130"/>
      <x:c r="AB1" s="130"/>
      <x:c r="AC1" s="130"/>
      <x:c r="AD1" s="130"/>
      <x:c r="AE1" s="130"/>
      <x:c r="AF1" s="130"/>
      <x:c r="AG1" s="130"/>
      <x:c r="AH1" s="130"/>
      <x:c r="AI1" s="130"/>
      <x:c r="AJ1" s="130"/>
      <x:c r="AK1" s="130"/>
      <x:c r="AL1" s="130"/>
      <x:c r="AM1" s="130"/>
      <x:c r="AN1" s="130"/>
      <x:c r="AO1" s="130"/>
      <x:c r="AP1" s="130"/>
      <x:c r="AQ1" s="130"/>
      <x:c r="AR1" s="130"/>
      <x:c r="AS1" s="130"/>
      <x:c r="AT1" s="130"/>
      <x:c r="AU1" s="130"/>
      <x:c r="AV1" s="130"/>
      <x:c r="AW1" s="130"/>
      <x:c r="AX1" s="130"/>
      <x:c r="AY1" s="130"/>
      <x:c r="AZ1" s="130"/>
    </x:row>
    <x:row r="2">
      <x:c r="A2" s="5"/>
      <x:c r="B2" s="5"/>
      <x:c r="C2" s="5"/>
      <x:c r="D2" s="5"/>
      <x:c r="E2" s="5"/>
      <x:c r="F2" s="5"/>
      <x:c r="G2" s="5"/>
      <x:c r="H2" s="5"/>
      <x:c r="I2" s="130"/>
      <x:c r="J2" s="130"/>
      <x:c r="K2" s="130"/>
      <x:c r="L2" s="130"/>
      <x:c r="M2" s="130"/>
      <x:c r="N2" s="130"/>
      <x:c r="O2" s="130"/>
      <x:c r="P2" s="130"/>
      <x:c r="Q2" s="130"/>
      <x:c r="R2" s="130"/>
      <x:c r="S2" s="130"/>
      <x:c r="T2" s="130"/>
      <x:c r="U2" s="130"/>
      <x:c r="V2" s="130"/>
      <x:c r="W2" s="130"/>
      <x:c r="X2" s="130"/>
      <x:c r="Y2" s="130"/>
      <x:c r="Z2" s="130"/>
      <x:c r="AA2" s="130"/>
      <x:c r="AB2" s="130"/>
      <x:c r="AC2" s="130"/>
      <x:c r="AD2" s="130"/>
      <x:c r="AE2" s="130"/>
      <x:c r="AF2" s="130"/>
      <x:c r="AG2" s="130"/>
      <x:c r="AH2" s="130"/>
      <x:c r="AI2" s="130"/>
      <x:c r="AJ2" s="130"/>
      <x:c r="AK2" s="130"/>
      <x:c r="AL2" s="130"/>
      <x:c r="AM2" s="130"/>
      <x:c r="AN2" s="130"/>
      <x:c r="AO2" s="130"/>
      <x:c r="AP2" s="130"/>
      <x:c r="AQ2" s="130"/>
      <x:c r="AR2" s="130"/>
      <x:c r="AS2" s="130"/>
      <x:c r="AT2" s="130"/>
      <x:c r="AU2" s="130"/>
      <x:c r="AV2" s="130"/>
      <x:c r="AW2" s="130"/>
      <x:c r="AX2" s="130"/>
      <x:c r="AY2" s="130"/>
      <x:c r="AZ2" s="130"/>
    </x:row>
    <x:row r="3">
      <x:c r="A3" s="130"/>
      <x:c r="B3" s="130"/>
      <x:c r="C3" s="130"/>
      <x:c r="D3" s="130"/>
      <x:c r="E3" s="130"/>
      <x:c r="F3" s="130"/>
      <x:c r="G3" s="130"/>
      <x:c r="H3" s="130"/>
      <x:c r="I3" s="130"/>
      <x:c r="J3" s="130"/>
      <x:c r="K3" s="130"/>
      <x:c r="L3" s="130"/>
      <x:c r="M3" s="130"/>
      <x:c r="N3" s="130"/>
      <x:c r="O3" s="130"/>
      <x:c r="P3" s="130"/>
      <x:c r="Q3" s="130"/>
      <x:c r="R3" s="130"/>
      <x:c r="S3" s="130"/>
      <x:c r="T3" s="130"/>
      <x:c r="U3" s="130"/>
      <x:c r="V3" s="130"/>
      <x:c r="W3" s="130"/>
      <x:c r="X3" s="130"/>
      <x:c r="Y3" s="130"/>
      <x:c r="Z3" s="130"/>
      <x:c r="AA3" s="130"/>
      <x:c r="AB3" s="130"/>
      <x:c r="AC3" s="130"/>
      <x:c r="AD3" s="130"/>
      <x:c r="AE3" s="130"/>
      <x:c r="AF3" s="130"/>
      <x:c r="AG3" s="130"/>
      <x:c r="AH3" s="130"/>
      <x:c r="AI3" s="130"/>
      <x:c r="AJ3" s="130"/>
      <x:c r="AK3" s="130"/>
      <x:c r="AL3" s="130"/>
      <x:c r="AM3" s="130"/>
      <x:c r="AN3" s="130"/>
      <x:c r="AO3" s="130"/>
      <x:c r="AP3" s="130"/>
      <x:c r="AQ3" s="130"/>
      <x:c r="AR3" s="130"/>
      <x:c r="AS3" s="130"/>
      <x:c r="AT3" s="130"/>
      <x:c r="AU3" s="130"/>
      <x:c r="AV3" s="130"/>
      <x:c r="AW3" s="130"/>
      <x:c r="AX3" s="130"/>
      <x:c r="AY3" s="130"/>
      <x:c r="AZ3" s="130"/>
    </x:row>
    <x:row r="4">
      <x:c r="A4" s="32" t="str">
        <x:v>Spec_ID</x:v>
      </x:c>
      <x:c r="B4" s="32" t="str">
        <x:v>Machine_or_Input</x:v>
      </x:c>
      <x:c r="C4" s="32" t="str">
        <x:v>Value</x:v>
      </x:c>
      <x:c r="D4" s="32" t="str">
        <x:v>Unit</x:v>
      </x:c>
      <x:c r="E4" s="32" t="str">
        <x:v>Data_Quality</x:v>
      </x:c>
      <x:c r="F4" s="32" t="str">
        <x:v>Source_URL</x:v>
      </x:c>
      <x:c r="G4" s="32" t="str">
        <x:v>Use_in_Model</x:v>
      </x:c>
      <x:c r="H4" s="32" t="str">
        <x:v>Note</x:v>
      </x:c>
      <x:c r="I4" s="130"/>
      <x:c r="J4" s="130"/>
      <x:c r="K4" s="130"/>
      <x:c r="L4" s="130"/>
      <x:c r="M4" s="130"/>
      <x:c r="N4" s="130"/>
      <x:c r="O4" s="130"/>
      <x:c r="P4" s="130"/>
      <x:c r="Q4" s="130"/>
      <x:c r="R4" s="130"/>
      <x:c r="S4" s="130"/>
      <x:c r="T4" s="130"/>
      <x:c r="U4" s="130"/>
      <x:c r="V4" s="130"/>
      <x:c r="W4" s="130"/>
      <x:c r="X4" s="130"/>
      <x:c r="Y4" s="130"/>
      <x:c r="Z4" s="130"/>
      <x:c r="AA4" s="130"/>
      <x:c r="AB4" s="130"/>
      <x:c r="AC4" s="130"/>
      <x:c r="AD4" s="130"/>
      <x:c r="AE4" s="130"/>
      <x:c r="AF4" s="130"/>
      <x:c r="AG4" s="130"/>
      <x:c r="AH4" s="130"/>
      <x:c r="AI4" s="130"/>
      <x:c r="AJ4" s="130"/>
      <x:c r="AK4" s="130"/>
      <x:c r="AL4" s="130"/>
      <x:c r="AM4" s="130"/>
      <x:c r="AN4" s="130"/>
      <x:c r="AO4" s="130"/>
      <x:c r="AP4" s="130"/>
      <x:c r="AQ4" s="130"/>
      <x:c r="AR4" s="130"/>
      <x:c r="AS4" s="130"/>
      <x:c r="AT4" s="130"/>
      <x:c r="AU4" s="130"/>
      <x:c r="AV4" s="130"/>
      <x:c r="AW4" s="130"/>
      <x:c r="AX4" s="130"/>
      <x:c r="AY4" s="130"/>
      <x:c r="AZ4" s="130"/>
    </x:row>
    <x:row r="5">
      <x:c r="A5" s="131" t="str">
        <x:v>PS1</x:v>
      </x:c>
      <x:c r="B5" s="131" t="str">
        <x:v>Volvo EC18 Electric battery capacity</x:v>
      </x:c>
      <x:c r="C5" s="133" t="n">
        <x:v>20</x:v>
      </x:c>
      <x:c r="D5" s="131" t="str">
        <x:v>kWh</x:v>
      </x:c>
      <x:c r="E5" s="131" t="str">
        <x:v>Manufacturer specification</x:v>
      </x:c>
      <x:c r="F5" s="131" t="str">
        <x:v>https://www.volvoce.com/united-states/en-us/products/electric-machines/ec18-electric/</x:v>
      </x:c>
      <x:c r="G5" s="131" t="str">
        <x:v>Battery charging adequacy</x:v>
      </x:c>
      <x:c r="H5" s="131" t="str">
        <x:v>Official page reports 20 kWh capacity.</x:v>
      </x:c>
      <x:c r="I5" s="130"/>
      <x:c r="J5" s="130"/>
      <x:c r="K5" s="130"/>
      <x:c r="L5" s="130"/>
      <x:c r="M5" s="130"/>
      <x:c r="N5" s="130"/>
      <x:c r="O5" s="130"/>
      <x:c r="P5" s="130"/>
      <x:c r="Q5" s="130"/>
      <x:c r="R5" s="130"/>
      <x:c r="S5" s="130"/>
      <x:c r="T5" s="130"/>
      <x:c r="U5" s="130"/>
      <x:c r="V5" s="130"/>
      <x:c r="W5" s="130"/>
      <x:c r="X5" s="130"/>
      <x:c r="Y5" s="130"/>
      <x:c r="Z5" s="130"/>
      <x:c r="AA5" s="130"/>
      <x:c r="AB5" s="130"/>
      <x:c r="AC5" s="130"/>
      <x:c r="AD5" s="130"/>
      <x:c r="AE5" s="130"/>
      <x:c r="AF5" s="130"/>
      <x:c r="AG5" s="130"/>
      <x:c r="AH5" s="130"/>
      <x:c r="AI5" s="130"/>
      <x:c r="AJ5" s="130"/>
      <x:c r="AK5" s="130"/>
      <x:c r="AL5" s="130"/>
      <x:c r="AM5" s="130"/>
      <x:c r="AN5" s="130"/>
      <x:c r="AO5" s="130"/>
      <x:c r="AP5" s="130"/>
      <x:c r="AQ5" s="130"/>
      <x:c r="AR5" s="130"/>
      <x:c r="AS5" s="130"/>
      <x:c r="AT5" s="130"/>
      <x:c r="AU5" s="130"/>
      <x:c r="AV5" s="130"/>
      <x:c r="AW5" s="130"/>
      <x:c r="AX5" s="130"/>
      <x:c r="AY5" s="130"/>
      <x:c r="AZ5" s="130"/>
    </x:row>
    <x:row r="6">
      <x:c r="A6" s="131" t="str">
        <x:v>PS2</x:v>
      </x:c>
      <x:c r="B6" s="131" t="str">
        <x:v>Volvo EC18 Electric indicative runtime</x:v>
      </x:c>
      <x:c r="C6" s="133" t="n">
        <x:v>6</x:v>
      </x:c>
      <x:c r="D6" s="131" t="str">
        <x:v>hours</x:v>
      </x:c>
      <x:c r="E6" s="131" t="str">
        <x:v>Manufacturer specification</x:v>
      </x:c>
      <x:c r="F6" s="131" t="str">
        <x:v>https://www.volvoce.com/united-states/en-us/products/electric-machines/ec18-electric/</x:v>
      </x:c>
      <x:c r="G6" s="131" t="str">
        <x:v>Teaching context</x:v>
      </x:c>
      <x:c r="H6" s="131" t="str">
        <x:v>Runtime varies by application; trenching can be materially shorter.</x:v>
      </x:c>
      <x:c r="I6" s="130"/>
      <x:c r="J6" s="130"/>
      <x:c r="K6" s="130"/>
      <x:c r="L6" s="130"/>
      <x:c r="M6" s="130"/>
      <x:c r="N6" s="130"/>
      <x:c r="O6" s="130"/>
      <x:c r="P6" s="130"/>
      <x:c r="Q6" s="130"/>
      <x:c r="R6" s="130"/>
      <x:c r="S6" s="130"/>
      <x:c r="T6" s="130"/>
      <x:c r="U6" s="130"/>
      <x:c r="V6" s="130"/>
      <x:c r="W6" s="130"/>
      <x:c r="X6" s="130"/>
      <x:c r="Y6" s="130"/>
      <x:c r="Z6" s="130"/>
      <x:c r="AA6" s="130"/>
      <x:c r="AB6" s="130"/>
      <x:c r="AC6" s="130"/>
      <x:c r="AD6" s="130"/>
      <x:c r="AE6" s="130"/>
      <x:c r="AF6" s="130"/>
      <x:c r="AG6" s="130"/>
      <x:c r="AH6" s="130"/>
      <x:c r="AI6" s="130"/>
      <x:c r="AJ6" s="130"/>
      <x:c r="AK6" s="130"/>
      <x:c r="AL6" s="130"/>
      <x:c r="AM6" s="130"/>
      <x:c r="AN6" s="130"/>
      <x:c r="AO6" s="130"/>
      <x:c r="AP6" s="130"/>
      <x:c r="AQ6" s="130"/>
      <x:c r="AR6" s="130"/>
      <x:c r="AS6" s="130"/>
      <x:c r="AT6" s="130"/>
      <x:c r="AU6" s="130"/>
      <x:c r="AV6" s="130"/>
      <x:c r="AW6" s="130"/>
      <x:c r="AX6" s="130"/>
      <x:c r="AY6" s="130"/>
      <x:c r="AZ6" s="130"/>
    </x:row>
    <x:row r="7">
      <x:c r="A7" s="131" t="str">
        <x:v>PS3</x:v>
      </x:c>
      <x:c r="B7" s="131" t="str">
        <x:v>Volvo EC18 Electric standard charge time</x:v>
      </x:c>
      <x:c r="C7" s="133" t="n">
        <x:v>6</x:v>
      </x:c>
      <x:c r="D7" s="131" t="str">
        <x:v>hours</x:v>
      </x:c>
      <x:c r="E7" s="131" t="str">
        <x:v>Manufacturer specification</x:v>
      </x:c>
      <x:c r="F7" s="131" t="str">
        <x:v>https://www.volvoce.com/united-states/en-us/products/electric-machines/ec18-electric/</x:v>
      </x:c>
      <x:c r="G7" s="131" t="str">
        <x:v>Teaching context</x:v>
      </x:c>
      <x:c r="H7" s="131" t="str">
        <x:v>On-board 230 V charging.</x:v>
      </x:c>
      <x:c r="I7" s="130"/>
      <x:c r="J7" s="130"/>
      <x:c r="K7" s="130"/>
      <x:c r="L7" s="130"/>
      <x:c r="M7" s="130"/>
      <x:c r="N7" s="130"/>
      <x:c r="O7" s="130"/>
      <x:c r="P7" s="130"/>
      <x:c r="Q7" s="130"/>
      <x:c r="R7" s="130"/>
      <x:c r="S7" s="130"/>
      <x:c r="T7" s="130"/>
      <x:c r="U7" s="130"/>
      <x:c r="V7" s="130"/>
      <x:c r="W7" s="130"/>
      <x:c r="X7" s="130"/>
      <x:c r="Y7" s="130"/>
      <x:c r="Z7" s="130"/>
      <x:c r="AA7" s="130"/>
      <x:c r="AB7" s="130"/>
      <x:c r="AC7" s="130"/>
      <x:c r="AD7" s="130"/>
      <x:c r="AE7" s="130"/>
      <x:c r="AF7" s="130"/>
      <x:c r="AG7" s="130"/>
      <x:c r="AH7" s="130"/>
      <x:c r="AI7" s="130"/>
      <x:c r="AJ7" s="130"/>
      <x:c r="AK7" s="130"/>
      <x:c r="AL7" s="130"/>
      <x:c r="AM7" s="130"/>
      <x:c r="AN7" s="130"/>
      <x:c r="AO7" s="130"/>
      <x:c r="AP7" s="130"/>
      <x:c r="AQ7" s="130"/>
      <x:c r="AR7" s="130"/>
      <x:c r="AS7" s="130"/>
      <x:c r="AT7" s="130"/>
      <x:c r="AU7" s="130"/>
      <x:c r="AV7" s="130"/>
      <x:c r="AW7" s="130"/>
      <x:c r="AX7" s="130"/>
      <x:c r="AY7" s="130"/>
      <x:c r="AZ7" s="130"/>
    </x:row>
    <x:row r="8">
      <x:c r="A8" s="131" t="str">
        <x:v>PS4</x:v>
      </x:c>
      <x:c r="B8" s="131" t="str">
        <x:v>Volvo EC18 Electric fast charge time</x:v>
      </x:c>
      <x:c r="C8" s="133" t="n">
        <x:v>1.25</x:v>
      </x:c>
      <x:c r="D8" s="131" t="str">
        <x:v>hours</x:v>
      </x:c>
      <x:c r="E8" s="131" t="str">
        <x:v>Manufacturer specification</x:v>
      </x:c>
      <x:c r="F8" s="131" t="str">
        <x:v>https://www.volvoce.com/united-states/en-us/products/electric-machines/ec18-electric/</x:v>
      </x:c>
      <x:c r="G8" s="131" t="str">
        <x:v>Teaching context</x:v>
      </x:c>
      <x:c r="H8" s="131" t="str">
        <x:v>Off-board 400 V charging.</x:v>
      </x:c>
      <x:c r="I8" s="130"/>
      <x:c r="J8" s="130"/>
      <x:c r="K8" s="130"/>
      <x:c r="L8" s="130"/>
      <x:c r="M8" s="130"/>
      <x:c r="N8" s="130"/>
      <x:c r="O8" s="130"/>
      <x:c r="P8" s="130"/>
      <x:c r="Q8" s="130"/>
      <x:c r="R8" s="130"/>
      <x:c r="S8" s="130"/>
      <x:c r="T8" s="130"/>
      <x:c r="U8" s="130"/>
      <x:c r="V8" s="130"/>
      <x:c r="W8" s="130"/>
      <x:c r="X8" s="130"/>
      <x:c r="Y8" s="130"/>
      <x:c r="Z8" s="130"/>
      <x:c r="AA8" s="130"/>
      <x:c r="AB8" s="130"/>
      <x:c r="AC8" s="130"/>
      <x:c r="AD8" s="130"/>
      <x:c r="AE8" s="130"/>
      <x:c r="AF8" s="130"/>
      <x:c r="AG8" s="130"/>
      <x:c r="AH8" s="130"/>
      <x:c r="AI8" s="130"/>
      <x:c r="AJ8" s="130"/>
      <x:c r="AK8" s="130"/>
      <x:c r="AL8" s="130"/>
      <x:c r="AM8" s="130"/>
      <x:c r="AN8" s="130"/>
      <x:c r="AO8" s="130"/>
      <x:c r="AP8" s="130"/>
      <x:c r="AQ8" s="130"/>
      <x:c r="AR8" s="130"/>
      <x:c r="AS8" s="130"/>
      <x:c r="AT8" s="130"/>
      <x:c r="AU8" s="130"/>
      <x:c r="AV8" s="130"/>
      <x:c r="AW8" s="130"/>
      <x:c r="AX8" s="130"/>
      <x:c r="AY8" s="130"/>
      <x:c r="AZ8" s="130"/>
    </x:row>
    <x:row r="9">
      <x:c r="A9" s="131" t="str">
        <x:v>PS5</x:v>
      </x:c>
      <x:c r="B9" s="131" t="str">
        <x:v>JCB 19C-1E standard-application runtime</x:v>
      </x:c>
      <x:c r="C9" s="133" t="n">
        <x:v>5</x:v>
      </x:c>
      <x:c r="D9" s="131" t="str">
        <x:v>hours</x:v>
      </x:c>
      <x:c r="E9" s="131" t="str">
        <x:v>Manufacturer specification</x:v>
      </x:c>
      <x:c r="F9" s="131" t="str">
        <x:v>https://www.jcb.com/en-GB/products/machines/mini-excavators/19c-1e/</x:v>
      </x:c>
      <x:c r="G9" s="131" t="str">
        <x:v>Cross-check</x:v>
      </x:c>
      <x:c r="H9" s="131" t="str">
        <x:v>JCB describes five hours as equivalent to a full standard working day.</x:v>
      </x:c>
      <x:c r="I9" s="130"/>
      <x:c r="J9" s="130"/>
      <x:c r="K9" s="130"/>
      <x:c r="L9" s="130"/>
      <x:c r="M9" s="130"/>
      <x:c r="N9" s="130"/>
      <x:c r="O9" s="130"/>
      <x:c r="P9" s="130"/>
      <x:c r="Q9" s="130"/>
      <x:c r="R9" s="130"/>
      <x:c r="S9" s="130"/>
      <x:c r="T9" s="130"/>
      <x:c r="U9" s="130"/>
      <x:c r="V9" s="130"/>
      <x:c r="W9" s="130"/>
      <x:c r="X9" s="130"/>
      <x:c r="Y9" s="130"/>
      <x:c r="Z9" s="130"/>
      <x:c r="AA9" s="130"/>
      <x:c r="AB9" s="130"/>
      <x:c r="AC9" s="130"/>
      <x:c r="AD9" s="130"/>
      <x:c r="AE9" s="130"/>
      <x:c r="AF9" s="130"/>
      <x:c r="AG9" s="130"/>
      <x:c r="AH9" s="130"/>
      <x:c r="AI9" s="130"/>
      <x:c r="AJ9" s="130"/>
      <x:c r="AK9" s="130"/>
      <x:c r="AL9" s="130"/>
      <x:c r="AM9" s="130"/>
      <x:c r="AN9" s="130"/>
      <x:c r="AO9" s="130"/>
      <x:c r="AP9" s="130"/>
      <x:c r="AQ9" s="130"/>
      <x:c r="AR9" s="130"/>
      <x:c r="AS9" s="130"/>
      <x:c r="AT9" s="130"/>
      <x:c r="AU9" s="130"/>
      <x:c r="AV9" s="130"/>
      <x:c r="AW9" s="130"/>
      <x:c r="AX9" s="130"/>
      <x:c r="AY9" s="130"/>
      <x:c r="AZ9" s="130"/>
    </x:row>
    <x:row r="10">
      <x:c r="A10" s="131" t="str">
        <x:v>PS6</x:v>
      </x:c>
      <x:c r="B10" s="131" t="str">
        <x:v>Diesel mini-excavator fuel rate</x:v>
      </x:c>
      <x:c r="C10" s="134" t="n">
        <x:v>3.2</x:v>
      </x:c>
      <x:c r="D10" s="131" t="str">
        <x:v>litres/hour</x:v>
      </x:c>
      <x:c r="E10" s="131" t="str">
        <x:v>Teaching assumption</x:v>
      </x:c>
      <x:c r="F10" s="131" t="str">
        <x:v>Not applicable</x:v>
      </x:c>
      <x:c r="G10" s="131" t="str">
        <x:v>Baseline calculation</x:v>
      </x:c>
      <x:c r="H10" s="131" t="str">
        <x:v>Replace with measured or supplier data when available.</x:v>
      </x:c>
      <x:c r="I10" s="130"/>
      <x:c r="J10" s="130"/>
      <x:c r="K10" s="130"/>
      <x:c r="L10" s="130"/>
      <x:c r="M10" s="130"/>
      <x:c r="N10" s="130"/>
      <x:c r="O10" s="130"/>
      <x:c r="P10" s="130"/>
      <x:c r="Q10" s="130"/>
      <x:c r="R10" s="130"/>
      <x:c r="S10" s="130"/>
      <x:c r="T10" s="130"/>
      <x:c r="U10" s="130"/>
      <x:c r="V10" s="130"/>
      <x:c r="W10" s="130"/>
      <x:c r="X10" s="130"/>
      <x:c r="Y10" s="130"/>
      <x:c r="Z10" s="130"/>
      <x:c r="AA10" s="130"/>
      <x:c r="AB10" s="130"/>
      <x:c r="AC10" s="130"/>
      <x:c r="AD10" s="130"/>
      <x:c r="AE10" s="130"/>
      <x:c r="AF10" s="130"/>
      <x:c r="AG10" s="130"/>
      <x:c r="AH10" s="130"/>
      <x:c r="AI10" s="130"/>
      <x:c r="AJ10" s="130"/>
      <x:c r="AK10" s="130"/>
      <x:c r="AL10" s="130"/>
      <x:c r="AM10" s="130"/>
      <x:c r="AN10" s="130"/>
      <x:c r="AO10" s="130"/>
      <x:c r="AP10" s="130"/>
      <x:c r="AQ10" s="130"/>
      <x:c r="AR10" s="130"/>
      <x:c r="AS10" s="130"/>
      <x:c r="AT10" s="130"/>
      <x:c r="AU10" s="130"/>
      <x:c r="AV10" s="130"/>
      <x:c r="AW10" s="130"/>
      <x:c r="AX10" s="130"/>
      <x:c r="AY10" s="130"/>
      <x:c r="AZ10" s="130"/>
    </x:row>
    <x:row r="11">
      <x:c r="A11" s="130"/>
      <x:c r="B11" s="130"/>
      <x:c r="C11" s="130"/>
      <x:c r="D11" s="130"/>
      <x:c r="E11" s="130"/>
      <x:c r="F11" s="130"/>
      <x:c r="G11" s="130"/>
      <x:c r="H11" s="130"/>
      <x:c r="I11" s="130"/>
      <x:c r="J11" s="130"/>
      <x:c r="K11" s="130"/>
      <x:c r="L11" s="130"/>
      <x:c r="M11" s="130"/>
      <x:c r="N11" s="130"/>
      <x:c r="O11" s="130"/>
      <x:c r="P11" s="130"/>
      <x:c r="Q11" s="130"/>
      <x:c r="R11" s="130"/>
      <x:c r="S11" s="130"/>
      <x:c r="T11" s="130"/>
      <x:c r="U11" s="130"/>
      <x:c r="V11" s="130"/>
      <x:c r="W11" s="130"/>
      <x:c r="X11" s="130"/>
      <x:c r="Y11" s="130"/>
      <x:c r="Z11" s="130"/>
      <x:c r="AA11" s="130"/>
      <x:c r="AB11" s="130"/>
      <x:c r="AC11" s="130"/>
      <x:c r="AD11" s="130"/>
      <x:c r="AE11" s="130"/>
      <x:c r="AF11" s="130"/>
      <x:c r="AG11" s="130"/>
      <x:c r="AH11" s="130"/>
      <x:c r="AI11" s="130"/>
      <x:c r="AJ11" s="130"/>
      <x:c r="AK11" s="130"/>
      <x:c r="AL11" s="130"/>
      <x:c r="AM11" s="130"/>
      <x:c r="AN11" s="130"/>
      <x:c r="AO11" s="130"/>
      <x:c r="AP11" s="130"/>
      <x:c r="AQ11" s="130"/>
      <x:c r="AR11" s="130"/>
      <x:c r="AS11" s="130"/>
      <x:c r="AT11" s="130"/>
      <x:c r="AU11" s="130"/>
      <x:c r="AV11" s="130"/>
      <x:c r="AW11" s="130"/>
      <x:c r="AX11" s="130"/>
      <x:c r="AY11" s="130"/>
      <x:c r="AZ11" s="130"/>
    </x:row>
    <x:row r="12">
      <x:c r="A12" s="130"/>
      <x:c r="B12" s="130"/>
      <x:c r="C12" s="130"/>
      <x:c r="D12" s="130"/>
      <x:c r="E12" s="130"/>
      <x:c r="F12" s="130"/>
      <x:c r="G12" s="130"/>
      <x:c r="H12" s="130"/>
      <x:c r="I12" s="130"/>
      <x:c r="J12" s="130"/>
      <x:c r="K12" s="130"/>
      <x:c r="L12" s="130"/>
      <x:c r="M12" s="130"/>
      <x:c r="N12" s="130"/>
      <x:c r="O12" s="130"/>
      <x:c r="P12" s="130"/>
      <x:c r="Q12" s="130"/>
      <x:c r="R12" s="130"/>
      <x:c r="S12" s="130"/>
      <x:c r="T12" s="130"/>
      <x:c r="U12" s="130"/>
      <x:c r="V12" s="130"/>
      <x:c r="W12" s="130"/>
      <x:c r="X12" s="130"/>
      <x:c r="Y12" s="130"/>
      <x:c r="Z12" s="130"/>
      <x:c r="AA12" s="130"/>
      <x:c r="AB12" s="130"/>
      <x:c r="AC12" s="130"/>
      <x:c r="AD12" s="130"/>
      <x:c r="AE12" s="130"/>
      <x:c r="AF12" s="130"/>
      <x:c r="AG12" s="130"/>
      <x:c r="AH12" s="130"/>
      <x:c r="AI12" s="130"/>
      <x:c r="AJ12" s="130"/>
      <x:c r="AK12" s="130"/>
      <x:c r="AL12" s="130"/>
      <x:c r="AM12" s="130"/>
      <x:c r="AN12" s="130"/>
      <x:c r="AO12" s="130"/>
      <x:c r="AP12" s="130"/>
      <x:c r="AQ12" s="130"/>
      <x:c r="AR12" s="130"/>
      <x:c r="AS12" s="130"/>
      <x:c r="AT12" s="130"/>
      <x:c r="AU12" s="130"/>
      <x:c r="AV12" s="130"/>
      <x:c r="AW12" s="130"/>
      <x:c r="AX12" s="130"/>
      <x:c r="AY12" s="130"/>
      <x:c r="AZ12" s="130"/>
    </x:row>
    <x:row r="13">
      <x:c r="A13" s="130"/>
      <x:c r="B13" s="130"/>
      <x:c r="C13" s="130"/>
      <x:c r="D13" s="130"/>
      <x:c r="E13" s="130"/>
      <x:c r="F13" s="130"/>
      <x:c r="G13" s="130"/>
      <x:c r="H13" s="130"/>
      <x:c r="I13" s="130"/>
      <x:c r="J13" s="130"/>
      <x:c r="K13" s="130"/>
      <x:c r="L13" s="130"/>
      <x:c r="M13" s="130"/>
      <x:c r="N13" s="130"/>
      <x:c r="O13" s="130"/>
      <x:c r="P13" s="130"/>
      <x:c r="Q13" s="130"/>
      <x:c r="R13" s="130"/>
      <x:c r="S13" s="130"/>
      <x:c r="T13" s="130"/>
      <x:c r="U13" s="130"/>
      <x:c r="V13" s="130"/>
      <x:c r="W13" s="130"/>
      <x:c r="X13" s="130"/>
      <x:c r="Y13" s="130"/>
      <x:c r="Z13" s="130"/>
      <x:c r="AA13" s="130"/>
      <x:c r="AB13" s="130"/>
      <x:c r="AC13" s="130"/>
      <x:c r="AD13" s="130"/>
      <x:c r="AE13" s="130"/>
      <x:c r="AF13" s="130"/>
      <x:c r="AG13" s="130"/>
      <x:c r="AH13" s="130"/>
      <x:c r="AI13" s="130"/>
      <x:c r="AJ13" s="130"/>
      <x:c r="AK13" s="130"/>
      <x:c r="AL13" s="130"/>
      <x:c r="AM13" s="130"/>
      <x:c r="AN13" s="130"/>
      <x:c r="AO13" s="130"/>
      <x:c r="AP13" s="130"/>
      <x:c r="AQ13" s="130"/>
      <x:c r="AR13" s="130"/>
      <x:c r="AS13" s="130"/>
      <x:c r="AT13" s="130"/>
      <x:c r="AU13" s="130"/>
      <x:c r="AV13" s="130"/>
      <x:c r="AW13" s="130"/>
      <x:c r="AX13" s="130"/>
      <x:c r="AY13" s="130"/>
      <x:c r="AZ13" s="130"/>
    </x:row>
    <x:row r="14">
      <x:c r="A14" s="130"/>
      <x:c r="B14" s="130"/>
      <x:c r="C14" s="130"/>
      <x:c r="D14" s="130"/>
      <x:c r="E14" s="130"/>
      <x:c r="F14" s="130"/>
      <x:c r="G14" s="130"/>
      <x:c r="H14" s="130"/>
      <x:c r="I14" s="130"/>
      <x:c r="J14" s="130"/>
      <x:c r="K14" s="130"/>
      <x:c r="L14" s="130"/>
      <x:c r="M14" s="130"/>
      <x:c r="N14" s="130"/>
      <x:c r="O14" s="130"/>
      <x:c r="P14" s="130"/>
      <x:c r="Q14" s="130"/>
      <x:c r="R14" s="130"/>
      <x:c r="S14" s="130"/>
      <x:c r="T14" s="130"/>
      <x:c r="U14" s="130"/>
      <x:c r="V14" s="130"/>
      <x:c r="W14" s="130"/>
      <x:c r="X14" s="130"/>
      <x:c r="Y14" s="130"/>
      <x:c r="Z14" s="130"/>
      <x:c r="AA14" s="130"/>
      <x:c r="AB14" s="130"/>
      <x:c r="AC14" s="130"/>
      <x:c r="AD14" s="130"/>
      <x:c r="AE14" s="130"/>
      <x:c r="AF14" s="130"/>
      <x:c r="AG14" s="130"/>
      <x:c r="AH14" s="130"/>
      <x:c r="AI14" s="130"/>
      <x:c r="AJ14" s="130"/>
      <x:c r="AK14" s="130"/>
      <x:c r="AL14" s="130"/>
      <x:c r="AM14" s="130"/>
      <x:c r="AN14" s="130"/>
      <x:c r="AO14" s="130"/>
      <x:c r="AP14" s="130"/>
      <x:c r="AQ14" s="130"/>
      <x:c r="AR14" s="130"/>
      <x:c r="AS14" s="130"/>
      <x:c r="AT14" s="130"/>
      <x:c r="AU14" s="130"/>
      <x:c r="AV14" s="130"/>
      <x:c r="AW14" s="130"/>
      <x:c r="AX14" s="130"/>
      <x:c r="AY14" s="130"/>
      <x:c r="AZ14" s="130"/>
    </x:row>
    <x:row r="15">
      <x:c r="A15" s="130"/>
      <x:c r="B15" s="130"/>
      <x:c r="C15" s="130"/>
      <x:c r="D15" s="130"/>
      <x:c r="E15" s="130"/>
      <x:c r="F15" s="130"/>
      <x:c r="G15" s="130"/>
      <x:c r="H15" s="130"/>
      <x:c r="I15" s="130"/>
      <x:c r="J15" s="130"/>
      <x:c r="K15" s="130"/>
      <x:c r="L15" s="130"/>
      <x:c r="M15" s="130"/>
      <x:c r="N15" s="130"/>
      <x:c r="O15" s="130"/>
      <x:c r="P15" s="130"/>
      <x:c r="Q15" s="130"/>
      <x:c r="R15" s="130"/>
      <x:c r="S15" s="130"/>
      <x:c r="T15" s="130"/>
      <x:c r="U15" s="130"/>
      <x:c r="V15" s="130"/>
      <x:c r="W15" s="130"/>
      <x:c r="X15" s="130"/>
      <x:c r="Y15" s="130"/>
      <x:c r="Z15" s="130"/>
      <x:c r="AA15" s="130"/>
      <x:c r="AB15" s="130"/>
      <x:c r="AC15" s="130"/>
      <x:c r="AD15" s="130"/>
      <x:c r="AE15" s="130"/>
      <x:c r="AF15" s="130"/>
      <x:c r="AG15" s="130"/>
      <x:c r="AH15" s="130"/>
      <x:c r="AI15" s="130"/>
      <x:c r="AJ15" s="130"/>
      <x:c r="AK15" s="130"/>
      <x:c r="AL15" s="130"/>
      <x:c r="AM15" s="130"/>
      <x:c r="AN15" s="130"/>
      <x:c r="AO15" s="130"/>
      <x:c r="AP15" s="130"/>
      <x:c r="AQ15" s="130"/>
      <x:c r="AR15" s="130"/>
      <x:c r="AS15" s="130"/>
      <x:c r="AT15" s="130"/>
      <x:c r="AU15" s="130"/>
      <x:c r="AV15" s="130"/>
      <x:c r="AW15" s="130"/>
      <x:c r="AX15" s="130"/>
      <x:c r="AY15" s="130"/>
      <x:c r="AZ15" s="130"/>
    </x:row>
    <x:row r="16">
      <x:c r="A16" s="130"/>
      <x:c r="B16" s="130"/>
      <x:c r="C16" s="130"/>
      <x:c r="D16" s="130"/>
      <x:c r="E16" s="130"/>
      <x:c r="F16" s="130"/>
      <x:c r="G16" s="130"/>
      <x:c r="H16" s="130"/>
      <x:c r="I16" s="130"/>
      <x:c r="J16" s="130"/>
      <x:c r="K16" s="130"/>
      <x:c r="L16" s="130"/>
      <x:c r="M16" s="130"/>
      <x:c r="N16" s="130"/>
      <x:c r="O16" s="130"/>
      <x:c r="P16" s="130"/>
      <x:c r="Q16" s="130"/>
      <x:c r="R16" s="130"/>
      <x:c r="S16" s="130"/>
      <x:c r="T16" s="130"/>
      <x:c r="U16" s="130"/>
      <x:c r="V16" s="130"/>
      <x:c r="W16" s="130"/>
      <x:c r="X16" s="130"/>
      <x:c r="Y16" s="130"/>
      <x:c r="Z16" s="130"/>
      <x:c r="AA16" s="130"/>
      <x:c r="AB16" s="130"/>
      <x:c r="AC16" s="130"/>
      <x:c r="AD16" s="130"/>
      <x:c r="AE16" s="130"/>
      <x:c r="AF16" s="130"/>
      <x:c r="AG16" s="130"/>
      <x:c r="AH16" s="130"/>
      <x:c r="AI16" s="130"/>
      <x:c r="AJ16" s="130"/>
      <x:c r="AK16" s="130"/>
      <x:c r="AL16" s="130"/>
      <x:c r="AM16" s="130"/>
      <x:c r="AN16" s="130"/>
      <x:c r="AO16" s="130"/>
      <x:c r="AP16" s="130"/>
      <x:c r="AQ16" s="130"/>
      <x:c r="AR16" s="130"/>
      <x:c r="AS16" s="130"/>
      <x:c r="AT16" s="130"/>
      <x:c r="AU16" s="130"/>
      <x:c r="AV16" s="130"/>
      <x:c r="AW16" s="130"/>
      <x:c r="AX16" s="130"/>
      <x:c r="AY16" s="130"/>
      <x:c r="AZ16" s="130"/>
    </x:row>
    <x:row r="17">
      <x:c r="A17" s="130"/>
      <x:c r="B17" s="130"/>
      <x:c r="C17" s="130"/>
      <x:c r="D17" s="130"/>
      <x:c r="E17" s="130"/>
      <x:c r="F17" s="130"/>
      <x:c r="G17" s="130"/>
      <x:c r="H17" s="130"/>
      <x:c r="I17" s="130"/>
      <x:c r="J17" s="130"/>
      <x:c r="K17" s="130"/>
      <x:c r="L17" s="130"/>
      <x:c r="M17" s="130"/>
      <x:c r="N17" s="130"/>
      <x:c r="O17" s="130"/>
      <x:c r="P17" s="130"/>
      <x:c r="Q17" s="130"/>
      <x:c r="R17" s="130"/>
      <x:c r="S17" s="130"/>
      <x:c r="T17" s="130"/>
      <x:c r="U17" s="130"/>
      <x:c r="V17" s="130"/>
      <x:c r="W17" s="130"/>
      <x:c r="X17" s="130"/>
      <x:c r="Y17" s="130"/>
      <x:c r="Z17" s="130"/>
      <x:c r="AA17" s="130"/>
      <x:c r="AB17" s="130"/>
      <x:c r="AC17" s="130"/>
      <x:c r="AD17" s="130"/>
      <x:c r="AE17" s="130"/>
      <x:c r="AF17" s="130"/>
      <x:c r="AG17" s="130"/>
      <x:c r="AH17" s="130"/>
      <x:c r="AI17" s="130"/>
      <x:c r="AJ17" s="130"/>
      <x:c r="AK17" s="130"/>
      <x:c r="AL17" s="130"/>
      <x:c r="AM17" s="130"/>
      <x:c r="AN17" s="130"/>
      <x:c r="AO17" s="130"/>
      <x:c r="AP17" s="130"/>
      <x:c r="AQ17" s="130"/>
      <x:c r="AR17" s="130"/>
      <x:c r="AS17" s="130"/>
      <x:c r="AT17" s="130"/>
      <x:c r="AU17" s="130"/>
      <x:c r="AV17" s="130"/>
      <x:c r="AW17" s="130"/>
      <x:c r="AX17" s="130"/>
      <x:c r="AY17" s="130"/>
      <x:c r="AZ17" s="130"/>
    </x:row>
    <x:row r="18">
      <x:c r="A18" s="130"/>
      <x:c r="B18" s="130"/>
      <x:c r="C18" s="130"/>
      <x:c r="D18" s="130"/>
      <x:c r="E18" s="130"/>
      <x:c r="F18" s="130"/>
      <x:c r="G18" s="130"/>
      <x:c r="H18" s="130"/>
      <x:c r="I18" s="130"/>
      <x:c r="J18" s="130"/>
      <x:c r="K18" s="130"/>
      <x:c r="L18" s="130"/>
      <x:c r="M18" s="130"/>
      <x:c r="N18" s="130"/>
      <x:c r="O18" s="130"/>
      <x:c r="P18" s="130"/>
      <x:c r="Q18" s="130"/>
      <x:c r="R18" s="130"/>
      <x:c r="S18" s="130"/>
      <x:c r="T18" s="130"/>
      <x:c r="U18" s="130"/>
      <x:c r="V18" s="130"/>
      <x:c r="W18" s="130"/>
      <x:c r="X18" s="130"/>
      <x:c r="Y18" s="130"/>
      <x:c r="Z18" s="130"/>
      <x:c r="AA18" s="130"/>
      <x:c r="AB18" s="130"/>
      <x:c r="AC18" s="130"/>
      <x:c r="AD18" s="130"/>
      <x:c r="AE18" s="130"/>
      <x:c r="AF18" s="130"/>
      <x:c r="AG18" s="130"/>
      <x:c r="AH18" s="130"/>
      <x:c r="AI18" s="130"/>
      <x:c r="AJ18" s="130"/>
      <x:c r="AK18" s="130"/>
      <x:c r="AL18" s="130"/>
      <x:c r="AM18" s="130"/>
      <x:c r="AN18" s="130"/>
      <x:c r="AO18" s="130"/>
      <x:c r="AP18" s="130"/>
      <x:c r="AQ18" s="130"/>
      <x:c r="AR18" s="130"/>
      <x:c r="AS18" s="130"/>
      <x:c r="AT18" s="130"/>
      <x:c r="AU18" s="130"/>
      <x:c r="AV18" s="130"/>
      <x:c r="AW18" s="130"/>
      <x:c r="AX18" s="130"/>
      <x:c r="AY18" s="130"/>
      <x:c r="AZ18" s="130"/>
    </x:row>
    <x:row r="19">
      <x:c r="A19" s="130"/>
      <x:c r="B19" s="130"/>
      <x:c r="C19" s="130"/>
      <x:c r="D19" s="130"/>
      <x:c r="E19" s="130"/>
      <x:c r="F19" s="130"/>
      <x:c r="G19" s="130"/>
      <x:c r="H19" s="130"/>
      <x:c r="I19" s="130"/>
      <x:c r="J19" s="130"/>
      <x:c r="K19" s="130"/>
      <x:c r="L19" s="130"/>
      <x:c r="M19" s="130"/>
      <x:c r="N19" s="130"/>
      <x:c r="O19" s="130"/>
      <x:c r="P19" s="130"/>
      <x:c r="Q19" s="130"/>
      <x:c r="R19" s="130"/>
      <x:c r="S19" s="130"/>
      <x:c r="T19" s="130"/>
      <x:c r="U19" s="130"/>
      <x:c r="V19" s="130"/>
      <x:c r="W19" s="130"/>
      <x:c r="X19" s="130"/>
      <x:c r="Y19" s="130"/>
      <x:c r="Z19" s="130"/>
      <x:c r="AA19" s="130"/>
      <x:c r="AB19" s="130"/>
      <x:c r="AC19" s="130"/>
      <x:c r="AD19" s="130"/>
      <x:c r="AE19" s="130"/>
      <x:c r="AF19" s="130"/>
      <x:c r="AG19" s="130"/>
      <x:c r="AH19" s="130"/>
      <x:c r="AI19" s="130"/>
      <x:c r="AJ19" s="130"/>
      <x:c r="AK19" s="130"/>
      <x:c r="AL19" s="130"/>
      <x:c r="AM19" s="130"/>
      <x:c r="AN19" s="130"/>
      <x:c r="AO19" s="130"/>
      <x:c r="AP19" s="130"/>
      <x:c r="AQ19" s="130"/>
      <x:c r="AR19" s="130"/>
      <x:c r="AS19" s="130"/>
      <x:c r="AT19" s="130"/>
      <x:c r="AU19" s="130"/>
      <x:c r="AV19" s="130"/>
      <x:c r="AW19" s="130"/>
      <x:c r="AX19" s="130"/>
      <x:c r="AY19" s="130"/>
      <x:c r="AZ19" s="130"/>
    </x:row>
    <x:row r="20">
      <x:c r="A20" s="130"/>
      <x:c r="B20" s="130"/>
      <x:c r="C20" s="130"/>
      <x:c r="D20" s="130"/>
      <x:c r="E20" s="130"/>
      <x:c r="F20" s="130"/>
      <x:c r="G20" s="130"/>
      <x:c r="H20" s="130"/>
      <x:c r="I20" s="130"/>
      <x:c r="J20" s="130"/>
      <x:c r="K20" s="130"/>
      <x:c r="L20" s="130"/>
      <x:c r="M20" s="130"/>
      <x:c r="N20" s="130"/>
      <x:c r="O20" s="130"/>
      <x:c r="P20" s="130"/>
      <x:c r="Q20" s="130"/>
      <x:c r="R20" s="130"/>
      <x:c r="S20" s="130"/>
      <x:c r="T20" s="130"/>
      <x:c r="U20" s="130"/>
      <x:c r="V20" s="130"/>
      <x:c r="W20" s="130"/>
      <x:c r="X20" s="130"/>
      <x:c r="Y20" s="130"/>
      <x:c r="Z20" s="130"/>
      <x:c r="AA20" s="130"/>
      <x:c r="AB20" s="130"/>
      <x:c r="AC20" s="130"/>
      <x:c r="AD20" s="130"/>
      <x:c r="AE20" s="130"/>
      <x:c r="AF20" s="130"/>
      <x:c r="AG20" s="130"/>
      <x:c r="AH20" s="130"/>
      <x:c r="AI20" s="130"/>
      <x:c r="AJ20" s="130"/>
      <x:c r="AK20" s="130"/>
      <x:c r="AL20" s="130"/>
      <x:c r="AM20" s="130"/>
      <x:c r="AN20" s="130"/>
      <x:c r="AO20" s="130"/>
      <x:c r="AP20" s="130"/>
      <x:c r="AQ20" s="130"/>
      <x:c r="AR20" s="130"/>
      <x:c r="AS20" s="130"/>
      <x:c r="AT20" s="130"/>
      <x:c r="AU20" s="130"/>
      <x:c r="AV20" s="130"/>
      <x:c r="AW20" s="130"/>
      <x:c r="AX20" s="130"/>
      <x:c r="AY20" s="130"/>
      <x:c r="AZ20" s="130"/>
    </x:row>
    <x:row r="21">
      <x:c r="A21" s="130"/>
      <x:c r="B21" s="130"/>
      <x:c r="C21" s="130"/>
      <x:c r="D21" s="130"/>
      <x:c r="E21" s="130"/>
      <x:c r="F21" s="130"/>
      <x:c r="G21" s="130"/>
      <x:c r="H21" s="130"/>
      <x:c r="I21" s="130"/>
      <x:c r="J21" s="130"/>
      <x:c r="K21" s="130"/>
      <x:c r="L21" s="130"/>
      <x:c r="M21" s="130"/>
      <x:c r="N21" s="130"/>
      <x:c r="O21" s="130"/>
      <x:c r="P21" s="130"/>
      <x:c r="Q21" s="130"/>
      <x:c r="R21" s="130"/>
      <x:c r="S21" s="130"/>
      <x:c r="T21" s="130"/>
      <x:c r="U21" s="130"/>
      <x:c r="V21" s="130"/>
      <x:c r="W21" s="130"/>
      <x:c r="X21" s="130"/>
      <x:c r="Y21" s="130"/>
      <x:c r="Z21" s="130"/>
      <x:c r="AA21" s="130"/>
      <x:c r="AB21" s="130"/>
      <x:c r="AC21" s="130"/>
      <x:c r="AD21" s="130"/>
      <x:c r="AE21" s="130"/>
      <x:c r="AF21" s="130"/>
      <x:c r="AG21" s="130"/>
      <x:c r="AH21" s="130"/>
      <x:c r="AI21" s="130"/>
      <x:c r="AJ21" s="130"/>
      <x:c r="AK21" s="130"/>
      <x:c r="AL21" s="130"/>
      <x:c r="AM21" s="130"/>
      <x:c r="AN21" s="130"/>
      <x:c r="AO21" s="130"/>
      <x:c r="AP21" s="130"/>
      <x:c r="AQ21" s="130"/>
      <x:c r="AR21" s="130"/>
      <x:c r="AS21" s="130"/>
      <x:c r="AT21" s="130"/>
      <x:c r="AU21" s="130"/>
      <x:c r="AV21" s="130"/>
      <x:c r="AW21" s="130"/>
      <x:c r="AX21" s="130"/>
      <x:c r="AY21" s="130"/>
      <x:c r="AZ21" s="130"/>
    </x:row>
    <x:row r="22">
      <x:c r="A22" s="130"/>
      <x:c r="B22" s="130"/>
      <x:c r="C22" s="130"/>
      <x:c r="D22" s="130"/>
      <x:c r="E22" s="130"/>
      <x:c r="F22" s="130"/>
      <x:c r="G22" s="130"/>
      <x:c r="H22" s="130"/>
      <x:c r="I22" s="130"/>
      <x:c r="J22" s="130"/>
      <x:c r="K22" s="130"/>
      <x:c r="L22" s="130"/>
      <x:c r="M22" s="130"/>
      <x:c r="N22" s="130"/>
      <x:c r="O22" s="130"/>
      <x:c r="P22" s="130"/>
      <x:c r="Q22" s="130"/>
      <x:c r="R22" s="130"/>
      <x:c r="S22" s="130"/>
      <x:c r="T22" s="130"/>
      <x:c r="U22" s="130"/>
      <x:c r="V22" s="130"/>
      <x:c r="W22" s="130"/>
      <x:c r="X22" s="130"/>
      <x:c r="Y22" s="130"/>
      <x:c r="Z22" s="130"/>
      <x:c r="AA22" s="130"/>
      <x:c r="AB22" s="130"/>
      <x:c r="AC22" s="130"/>
      <x:c r="AD22" s="130"/>
      <x:c r="AE22" s="130"/>
      <x:c r="AF22" s="130"/>
      <x:c r="AG22" s="130"/>
      <x:c r="AH22" s="130"/>
      <x:c r="AI22" s="130"/>
      <x:c r="AJ22" s="130"/>
      <x:c r="AK22" s="130"/>
      <x:c r="AL22" s="130"/>
      <x:c r="AM22" s="130"/>
      <x:c r="AN22" s="130"/>
      <x:c r="AO22" s="130"/>
      <x:c r="AP22" s="130"/>
      <x:c r="AQ22" s="130"/>
      <x:c r="AR22" s="130"/>
      <x:c r="AS22" s="130"/>
      <x:c r="AT22" s="130"/>
      <x:c r="AU22" s="130"/>
      <x:c r="AV22" s="130"/>
      <x:c r="AW22" s="130"/>
      <x:c r="AX22" s="130"/>
      <x:c r="AY22" s="130"/>
      <x:c r="AZ22" s="130"/>
    </x:row>
    <x:row r="23">
      <x:c r="A23" s="130"/>
      <x:c r="B23" s="130"/>
      <x:c r="C23" s="130"/>
      <x:c r="D23" s="130"/>
      <x:c r="E23" s="130"/>
      <x:c r="F23" s="130"/>
      <x:c r="G23" s="130"/>
      <x:c r="H23" s="130"/>
      <x:c r="I23" s="130"/>
      <x:c r="J23" s="130"/>
      <x:c r="K23" s="130"/>
      <x:c r="L23" s="130"/>
      <x:c r="M23" s="130"/>
      <x:c r="N23" s="130"/>
      <x:c r="O23" s="130"/>
      <x:c r="P23" s="130"/>
      <x:c r="Q23" s="130"/>
      <x:c r="R23" s="130"/>
      <x:c r="S23" s="130"/>
      <x:c r="T23" s="130"/>
      <x:c r="U23" s="130"/>
      <x:c r="V23" s="130"/>
      <x:c r="W23" s="130"/>
      <x:c r="X23" s="130"/>
      <x:c r="Y23" s="130"/>
      <x:c r="Z23" s="130"/>
      <x:c r="AA23" s="130"/>
      <x:c r="AB23" s="130"/>
      <x:c r="AC23" s="130"/>
      <x:c r="AD23" s="130"/>
      <x:c r="AE23" s="130"/>
      <x:c r="AF23" s="130"/>
      <x:c r="AG23" s="130"/>
      <x:c r="AH23" s="130"/>
      <x:c r="AI23" s="130"/>
      <x:c r="AJ23" s="130"/>
      <x:c r="AK23" s="130"/>
      <x:c r="AL23" s="130"/>
      <x:c r="AM23" s="130"/>
      <x:c r="AN23" s="130"/>
      <x:c r="AO23" s="130"/>
      <x:c r="AP23" s="130"/>
      <x:c r="AQ23" s="130"/>
      <x:c r="AR23" s="130"/>
      <x:c r="AS23" s="130"/>
      <x:c r="AT23" s="130"/>
      <x:c r="AU23" s="130"/>
      <x:c r="AV23" s="130"/>
      <x:c r="AW23" s="130"/>
      <x:c r="AX23" s="130"/>
      <x:c r="AY23" s="130"/>
      <x:c r="AZ23" s="130"/>
    </x:row>
    <x:row r="24">
      <x:c r="A24" s="130"/>
      <x:c r="B24" s="130"/>
      <x:c r="C24" s="130"/>
      <x:c r="D24" s="130"/>
      <x:c r="E24" s="130"/>
      <x:c r="F24" s="130"/>
      <x:c r="G24" s="130"/>
      <x:c r="H24" s="130"/>
      <x:c r="I24" s="130"/>
      <x:c r="J24" s="130"/>
      <x:c r="K24" s="130"/>
      <x:c r="L24" s="130"/>
      <x:c r="M24" s="130"/>
      <x:c r="N24" s="130"/>
      <x:c r="O24" s="130"/>
      <x:c r="P24" s="130"/>
      <x:c r="Q24" s="130"/>
      <x:c r="R24" s="130"/>
      <x:c r="S24" s="130"/>
      <x:c r="T24" s="130"/>
      <x:c r="U24" s="130"/>
      <x:c r="V24" s="130"/>
      <x:c r="W24" s="130"/>
      <x:c r="X24" s="130"/>
      <x:c r="Y24" s="130"/>
      <x:c r="Z24" s="130"/>
      <x:c r="AA24" s="130"/>
      <x:c r="AB24" s="130"/>
      <x:c r="AC24" s="130"/>
      <x:c r="AD24" s="130"/>
      <x:c r="AE24" s="130"/>
      <x:c r="AF24" s="130"/>
      <x:c r="AG24" s="130"/>
      <x:c r="AH24" s="130"/>
      <x:c r="AI24" s="130"/>
      <x:c r="AJ24" s="130"/>
      <x:c r="AK24" s="130"/>
      <x:c r="AL24" s="130"/>
      <x:c r="AM24" s="130"/>
      <x:c r="AN24" s="130"/>
      <x:c r="AO24" s="130"/>
      <x:c r="AP24" s="130"/>
      <x:c r="AQ24" s="130"/>
      <x:c r="AR24" s="130"/>
      <x:c r="AS24" s="130"/>
      <x:c r="AT24" s="130"/>
      <x:c r="AU24" s="130"/>
      <x:c r="AV24" s="130"/>
      <x:c r="AW24" s="130"/>
      <x:c r="AX24" s="130"/>
      <x:c r="AY24" s="130"/>
      <x:c r="AZ24" s="130"/>
    </x:row>
    <x:row r="25">
      <x:c r="A25" s="130"/>
      <x:c r="B25" s="130"/>
      <x:c r="C25" s="130"/>
      <x:c r="D25" s="130"/>
      <x:c r="E25" s="130"/>
      <x:c r="F25" s="130"/>
      <x:c r="G25" s="130"/>
      <x:c r="H25" s="130"/>
      <x:c r="I25" s="130"/>
      <x:c r="J25" s="130"/>
      <x:c r="K25" s="130"/>
      <x:c r="L25" s="130"/>
      <x:c r="M25" s="130"/>
      <x:c r="N25" s="130"/>
      <x:c r="O25" s="130"/>
      <x:c r="P25" s="130"/>
      <x:c r="Q25" s="130"/>
      <x:c r="R25" s="130"/>
      <x:c r="S25" s="130"/>
      <x:c r="T25" s="130"/>
      <x:c r="U25" s="130"/>
      <x:c r="V25" s="130"/>
      <x:c r="W25" s="130"/>
      <x:c r="X25" s="130"/>
      <x:c r="Y25" s="130"/>
      <x:c r="Z25" s="130"/>
      <x:c r="AA25" s="130"/>
      <x:c r="AB25" s="130"/>
      <x:c r="AC25" s="130"/>
      <x:c r="AD25" s="130"/>
      <x:c r="AE25" s="130"/>
      <x:c r="AF25" s="130"/>
      <x:c r="AG25" s="130"/>
      <x:c r="AH25" s="130"/>
      <x:c r="AI25" s="130"/>
      <x:c r="AJ25" s="130"/>
      <x:c r="AK25" s="130"/>
      <x:c r="AL25" s="130"/>
      <x:c r="AM25" s="130"/>
      <x:c r="AN25" s="130"/>
      <x:c r="AO25" s="130"/>
      <x:c r="AP25" s="130"/>
      <x:c r="AQ25" s="130"/>
      <x:c r="AR25" s="130"/>
      <x:c r="AS25" s="130"/>
      <x:c r="AT25" s="130"/>
      <x:c r="AU25" s="130"/>
      <x:c r="AV25" s="130"/>
      <x:c r="AW25" s="130"/>
      <x:c r="AX25" s="130"/>
      <x:c r="AY25" s="130"/>
      <x:c r="AZ25" s="130"/>
    </x:row>
    <x:row r="26">
      <x:c r="A26" s="130"/>
      <x:c r="B26" s="130"/>
      <x:c r="C26" s="130"/>
      <x:c r="D26" s="130"/>
      <x:c r="E26" s="130"/>
      <x:c r="F26" s="130"/>
      <x:c r="G26" s="130"/>
      <x:c r="H26" s="130"/>
      <x:c r="I26" s="130"/>
      <x:c r="J26" s="130"/>
      <x:c r="K26" s="130"/>
      <x:c r="L26" s="130"/>
      <x:c r="M26" s="130"/>
      <x:c r="N26" s="130"/>
      <x:c r="O26" s="130"/>
      <x:c r="P26" s="130"/>
      <x:c r="Q26" s="130"/>
      <x:c r="R26" s="130"/>
      <x:c r="S26" s="130"/>
      <x:c r="T26" s="130"/>
      <x:c r="U26" s="130"/>
      <x:c r="V26" s="130"/>
      <x:c r="W26" s="130"/>
      <x:c r="X26" s="130"/>
      <x:c r="Y26" s="130"/>
      <x:c r="Z26" s="130"/>
      <x:c r="AA26" s="130"/>
      <x:c r="AB26" s="130"/>
      <x:c r="AC26" s="130"/>
      <x:c r="AD26" s="130"/>
      <x:c r="AE26" s="130"/>
      <x:c r="AF26" s="130"/>
      <x:c r="AG26" s="130"/>
      <x:c r="AH26" s="130"/>
      <x:c r="AI26" s="130"/>
      <x:c r="AJ26" s="130"/>
      <x:c r="AK26" s="130"/>
      <x:c r="AL26" s="130"/>
      <x:c r="AM26" s="130"/>
      <x:c r="AN26" s="130"/>
      <x:c r="AO26" s="130"/>
      <x:c r="AP26" s="130"/>
      <x:c r="AQ26" s="130"/>
      <x:c r="AR26" s="130"/>
      <x:c r="AS26" s="130"/>
      <x:c r="AT26" s="130"/>
      <x:c r="AU26" s="130"/>
      <x:c r="AV26" s="130"/>
      <x:c r="AW26" s="130"/>
      <x:c r="AX26" s="130"/>
      <x:c r="AY26" s="130"/>
      <x:c r="AZ26" s="130"/>
    </x:row>
    <x:row r="27">
      <x:c r="A27" s="130"/>
      <x:c r="B27" s="130"/>
      <x:c r="C27" s="130"/>
      <x:c r="D27" s="130"/>
      <x:c r="E27" s="130"/>
      <x:c r="F27" s="130"/>
      <x:c r="G27" s="130"/>
      <x:c r="H27" s="130"/>
      <x:c r="I27" s="130"/>
      <x:c r="J27" s="130"/>
      <x:c r="K27" s="130"/>
      <x:c r="L27" s="130"/>
      <x:c r="M27" s="130"/>
      <x:c r="N27" s="130"/>
      <x:c r="O27" s="130"/>
      <x:c r="P27" s="130"/>
      <x:c r="Q27" s="130"/>
      <x:c r="R27" s="130"/>
      <x:c r="S27" s="130"/>
      <x:c r="T27" s="130"/>
      <x:c r="U27" s="130"/>
      <x:c r="V27" s="130"/>
      <x:c r="W27" s="130"/>
      <x:c r="X27" s="130"/>
      <x:c r="Y27" s="130"/>
      <x:c r="Z27" s="130"/>
      <x:c r="AA27" s="130"/>
      <x:c r="AB27" s="130"/>
      <x:c r="AC27" s="130"/>
      <x:c r="AD27" s="130"/>
      <x:c r="AE27" s="130"/>
      <x:c r="AF27" s="130"/>
      <x:c r="AG27" s="130"/>
      <x:c r="AH27" s="130"/>
      <x:c r="AI27" s="130"/>
      <x:c r="AJ27" s="130"/>
      <x:c r="AK27" s="130"/>
      <x:c r="AL27" s="130"/>
      <x:c r="AM27" s="130"/>
      <x:c r="AN27" s="130"/>
      <x:c r="AO27" s="130"/>
      <x:c r="AP27" s="130"/>
      <x:c r="AQ27" s="130"/>
      <x:c r="AR27" s="130"/>
      <x:c r="AS27" s="130"/>
      <x:c r="AT27" s="130"/>
      <x:c r="AU27" s="130"/>
      <x:c r="AV27" s="130"/>
      <x:c r="AW27" s="130"/>
      <x:c r="AX27" s="130"/>
      <x:c r="AY27" s="130"/>
      <x:c r="AZ27" s="130"/>
    </x:row>
    <x:row r="28">
      <x:c r="A28" s="130"/>
      <x:c r="B28" s="130"/>
      <x:c r="C28" s="130"/>
      <x:c r="D28" s="130"/>
      <x:c r="E28" s="130"/>
      <x:c r="F28" s="130"/>
      <x:c r="G28" s="130"/>
      <x:c r="H28" s="130"/>
      <x:c r="I28" s="130"/>
      <x:c r="J28" s="130"/>
      <x:c r="K28" s="130"/>
      <x:c r="L28" s="130"/>
      <x:c r="M28" s="130"/>
      <x:c r="N28" s="130"/>
      <x:c r="O28" s="130"/>
      <x:c r="P28" s="130"/>
      <x:c r="Q28" s="130"/>
      <x:c r="R28" s="130"/>
      <x:c r="S28" s="130"/>
      <x:c r="T28" s="130"/>
      <x:c r="U28" s="130"/>
      <x:c r="V28" s="130"/>
      <x:c r="W28" s="130"/>
      <x:c r="X28" s="130"/>
      <x:c r="Y28" s="130"/>
      <x:c r="Z28" s="130"/>
      <x:c r="AA28" s="130"/>
      <x:c r="AB28" s="130"/>
      <x:c r="AC28" s="130"/>
      <x:c r="AD28" s="130"/>
      <x:c r="AE28" s="130"/>
      <x:c r="AF28" s="130"/>
      <x:c r="AG28" s="130"/>
      <x:c r="AH28" s="130"/>
      <x:c r="AI28" s="130"/>
      <x:c r="AJ28" s="130"/>
      <x:c r="AK28" s="130"/>
      <x:c r="AL28" s="130"/>
      <x:c r="AM28" s="130"/>
      <x:c r="AN28" s="130"/>
      <x:c r="AO28" s="130"/>
      <x:c r="AP28" s="130"/>
      <x:c r="AQ28" s="130"/>
      <x:c r="AR28" s="130"/>
      <x:c r="AS28" s="130"/>
      <x:c r="AT28" s="130"/>
      <x:c r="AU28" s="130"/>
      <x:c r="AV28" s="130"/>
      <x:c r="AW28" s="130"/>
      <x:c r="AX28" s="130"/>
      <x:c r="AY28" s="130"/>
      <x:c r="AZ28" s="130"/>
    </x:row>
    <x:row r="29">
      <x:c r="A29" s="130"/>
      <x:c r="B29" s="130"/>
      <x:c r="C29" s="130"/>
      <x:c r="D29" s="130"/>
      <x:c r="E29" s="130"/>
      <x:c r="F29" s="130"/>
      <x:c r="G29" s="130"/>
      <x:c r="H29" s="130"/>
      <x:c r="I29" s="130"/>
      <x:c r="J29" s="130"/>
      <x:c r="K29" s="130"/>
      <x:c r="L29" s="130"/>
      <x:c r="M29" s="130"/>
      <x:c r="N29" s="130"/>
      <x:c r="O29" s="130"/>
      <x:c r="P29" s="130"/>
      <x:c r="Q29" s="130"/>
      <x:c r="R29" s="130"/>
      <x:c r="S29" s="130"/>
      <x:c r="T29" s="130"/>
      <x:c r="U29" s="130"/>
      <x:c r="V29" s="130"/>
      <x:c r="W29" s="130"/>
      <x:c r="X29" s="130"/>
      <x:c r="Y29" s="130"/>
      <x:c r="Z29" s="130"/>
      <x:c r="AA29" s="130"/>
      <x:c r="AB29" s="130"/>
      <x:c r="AC29" s="130"/>
      <x:c r="AD29" s="130"/>
      <x:c r="AE29" s="130"/>
      <x:c r="AF29" s="130"/>
      <x:c r="AG29" s="130"/>
      <x:c r="AH29" s="130"/>
      <x:c r="AI29" s="130"/>
      <x:c r="AJ29" s="130"/>
      <x:c r="AK29" s="130"/>
      <x:c r="AL29" s="130"/>
      <x:c r="AM29" s="130"/>
      <x:c r="AN29" s="130"/>
      <x:c r="AO29" s="130"/>
      <x:c r="AP29" s="130"/>
      <x:c r="AQ29" s="130"/>
      <x:c r="AR29" s="130"/>
      <x:c r="AS29" s="130"/>
      <x:c r="AT29" s="130"/>
      <x:c r="AU29" s="130"/>
      <x:c r="AV29" s="130"/>
      <x:c r="AW29" s="130"/>
      <x:c r="AX29" s="130"/>
      <x:c r="AY29" s="130"/>
      <x:c r="AZ29" s="130"/>
    </x:row>
    <x:row r="30">
      <x:c r="A30" s="130"/>
      <x:c r="B30" s="130"/>
      <x:c r="C30" s="130"/>
      <x:c r="D30" s="130"/>
      <x:c r="E30" s="130"/>
      <x:c r="F30" s="130"/>
      <x:c r="G30" s="130"/>
      <x:c r="H30" s="130"/>
      <x:c r="I30" s="130"/>
      <x:c r="J30" s="130"/>
      <x:c r="K30" s="130"/>
      <x:c r="L30" s="130"/>
      <x:c r="M30" s="130"/>
      <x:c r="N30" s="130"/>
      <x:c r="O30" s="130"/>
      <x:c r="P30" s="130"/>
      <x:c r="Q30" s="130"/>
      <x:c r="R30" s="130"/>
      <x:c r="S30" s="130"/>
      <x:c r="T30" s="130"/>
      <x:c r="U30" s="130"/>
      <x:c r="V30" s="130"/>
      <x:c r="W30" s="130"/>
      <x:c r="X30" s="130"/>
      <x:c r="Y30" s="130"/>
      <x:c r="Z30" s="130"/>
      <x:c r="AA30" s="130"/>
      <x:c r="AB30" s="130"/>
      <x:c r="AC30" s="130"/>
      <x:c r="AD30" s="130"/>
      <x:c r="AE30" s="130"/>
      <x:c r="AF30" s="130"/>
      <x:c r="AG30" s="130"/>
      <x:c r="AH30" s="130"/>
      <x:c r="AI30" s="130"/>
      <x:c r="AJ30" s="130"/>
      <x:c r="AK30" s="130"/>
      <x:c r="AL30" s="130"/>
      <x:c r="AM30" s="130"/>
      <x:c r="AN30" s="130"/>
      <x:c r="AO30" s="130"/>
      <x:c r="AP30" s="130"/>
      <x:c r="AQ30" s="130"/>
      <x:c r="AR30" s="130"/>
      <x:c r="AS30" s="130"/>
      <x:c r="AT30" s="130"/>
      <x:c r="AU30" s="130"/>
      <x:c r="AV30" s="130"/>
      <x:c r="AW30" s="130"/>
      <x:c r="AX30" s="130"/>
      <x:c r="AY30" s="130"/>
      <x:c r="AZ30" s="130"/>
    </x:row>
    <x:row r="31">
      <x:c r="A31" s="130"/>
      <x:c r="B31" s="130"/>
      <x:c r="C31" s="130"/>
      <x:c r="D31" s="130"/>
      <x:c r="E31" s="130"/>
      <x:c r="F31" s="130"/>
      <x:c r="G31" s="130"/>
      <x:c r="H31" s="130"/>
      <x:c r="I31" s="130"/>
      <x:c r="J31" s="130"/>
      <x:c r="K31" s="130"/>
      <x:c r="L31" s="130"/>
      <x:c r="M31" s="130"/>
      <x:c r="N31" s="130"/>
      <x:c r="O31" s="130"/>
      <x:c r="P31" s="130"/>
      <x:c r="Q31" s="130"/>
      <x:c r="R31" s="130"/>
      <x:c r="S31" s="130"/>
      <x:c r="T31" s="130"/>
      <x:c r="U31" s="130"/>
      <x:c r="V31" s="130"/>
      <x:c r="W31" s="130"/>
      <x:c r="X31" s="130"/>
      <x:c r="Y31" s="130"/>
      <x:c r="Z31" s="130"/>
      <x:c r="AA31" s="130"/>
      <x:c r="AB31" s="130"/>
      <x:c r="AC31" s="130"/>
      <x:c r="AD31" s="130"/>
      <x:c r="AE31" s="130"/>
      <x:c r="AF31" s="130"/>
      <x:c r="AG31" s="130"/>
      <x:c r="AH31" s="130"/>
      <x:c r="AI31" s="130"/>
      <x:c r="AJ31" s="130"/>
      <x:c r="AK31" s="130"/>
      <x:c r="AL31" s="130"/>
      <x:c r="AM31" s="130"/>
      <x:c r="AN31" s="130"/>
      <x:c r="AO31" s="130"/>
      <x:c r="AP31" s="130"/>
      <x:c r="AQ31" s="130"/>
      <x:c r="AR31" s="130"/>
      <x:c r="AS31" s="130"/>
      <x:c r="AT31" s="130"/>
      <x:c r="AU31" s="130"/>
      <x:c r="AV31" s="130"/>
      <x:c r="AW31" s="130"/>
      <x:c r="AX31" s="130"/>
      <x:c r="AY31" s="130"/>
      <x:c r="AZ31" s="130"/>
    </x:row>
    <x:row r="32">
      <x:c r="A32" s="130"/>
      <x:c r="B32" s="130"/>
      <x:c r="C32" s="130"/>
      <x:c r="D32" s="130"/>
      <x:c r="E32" s="130"/>
      <x:c r="F32" s="130"/>
      <x:c r="G32" s="130"/>
      <x:c r="H32" s="130"/>
      <x:c r="I32" s="130"/>
      <x:c r="J32" s="130"/>
      <x:c r="K32" s="130"/>
      <x:c r="L32" s="130"/>
      <x:c r="M32" s="130"/>
      <x:c r="N32" s="130"/>
      <x:c r="O32" s="130"/>
      <x:c r="P32" s="130"/>
      <x:c r="Q32" s="130"/>
      <x:c r="R32" s="130"/>
      <x:c r="S32" s="130"/>
      <x:c r="T32" s="130"/>
      <x:c r="U32" s="130"/>
      <x:c r="V32" s="130"/>
      <x:c r="W32" s="130"/>
      <x:c r="X32" s="130"/>
      <x:c r="Y32" s="130"/>
      <x:c r="Z32" s="130"/>
      <x:c r="AA32" s="130"/>
      <x:c r="AB32" s="130"/>
      <x:c r="AC32" s="130"/>
      <x:c r="AD32" s="130"/>
      <x:c r="AE32" s="130"/>
      <x:c r="AF32" s="130"/>
      <x:c r="AG32" s="130"/>
      <x:c r="AH32" s="130"/>
      <x:c r="AI32" s="130"/>
      <x:c r="AJ32" s="130"/>
      <x:c r="AK32" s="130"/>
      <x:c r="AL32" s="130"/>
      <x:c r="AM32" s="130"/>
      <x:c r="AN32" s="130"/>
      <x:c r="AO32" s="130"/>
      <x:c r="AP32" s="130"/>
      <x:c r="AQ32" s="130"/>
      <x:c r="AR32" s="130"/>
      <x:c r="AS32" s="130"/>
      <x:c r="AT32" s="130"/>
      <x:c r="AU32" s="130"/>
      <x:c r="AV32" s="130"/>
      <x:c r="AW32" s="130"/>
      <x:c r="AX32" s="130"/>
      <x:c r="AY32" s="130"/>
      <x:c r="AZ32" s="130"/>
    </x:row>
    <x:row r="33">
      <x:c r="A33" s="130"/>
      <x:c r="B33" s="130"/>
      <x:c r="C33" s="130"/>
      <x:c r="D33" s="130"/>
      <x:c r="E33" s="130"/>
      <x:c r="F33" s="130"/>
      <x:c r="G33" s="130"/>
      <x:c r="H33" s="130"/>
      <x:c r="I33" s="130"/>
      <x:c r="J33" s="130"/>
      <x:c r="K33" s="130"/>
      <x:c r="L33" s="130"/>
      <x:c r="M33" s="130"/>
      <x:c r="N33" s="130"/>
      <x:c r="O33" s="130"/>
      <x:c r="P33" s="130"/>
      <x:c r="Q33" s="130"/>
      <x:c r="R33" s="130"/>
      <x:c r="S33" s="130"/>
      <x:c r="T33" s="130"/>
      <x:c r="U33" s="130"/>
      <x:c r="V33" s="130"/>
      <x:c r="W33" s="130"/>
      <x:c r="X33" s="130"/>
      <x:c r="Y33" s="130"/>
      <x:c r="Z33" s="130"/>
      <x:c r="AA33" s="130"/>
      <x:c r="AB33" s="130"/>
      <x:c r="AC33" s="130"/>
      <x:c r="AD33" s="130"/>
      <x:c r="AE33" s="130"/>
      <x:c r="AF33" s="130"/>
      <x:c r="AG33" s="130"/>
      <x:c r="AH33" s="130"/>
      <x:c r="AI33" s="130"/>
      <x:c r="AJ33" s="130"/>
      <x:c r="AK33" s="130"/>
      <x:c r="AL33" s="130"/>
      <x:c r="AM33" s="130"/>
      <x:c r="AN33" s="130"/>
      <x:c r="AO33" s="130"/>
      <x:c r="AP33" s="130"/>
      <x:c r="AQ33" s="130"/>
      <x:c r="AR33" s="130"/>
      <x:c r="AS33" s="130"/>
      <x:c r="AT33" s="130"/>
      <x:c r="AU33" s="130"/>
      <x:c r="AV33" s="130"/>
      <x:c r="AW33" s="130"/>
      <x:c r="AX33" s="130"/>
      <x:c r="AY33" s="130"/>
      <x:c r="AZ33" s="130"/>
    </x:row>
    <x:row r="34">
      <x:c r="A34" s="130"/>
      <x:c r="B34" s="130"/>
      <x:c r="C34" s="130"/>
      <x:c r="D34" s="130"/>
      <x:c r="E34" s="130"/>
      <x:c r="F34" s="130"/>
      <x:c r="G34" s="130"/>
      <x:c r="H34" s="130"/>
      <x:c r="I34" s="130"/>
      <x:c r="J34" s="130"/>
      <x:c r="K34" s="130"/>
      <x:c r="L34" s="130"/>
      <x:c r="M34" s="130"/>
      <x:c r="N34" s="130"/>
      <x:c r="O34" s="130"/>
      <x:c r="P34" s="130"/>
      <x:c r="Q34" s="130"/>
      <x:c r="R34" s="130"/>
      <x:c r="S34" s="130"/>
      <x:c r="T34" s="130"/>
      <x:c r="U34" s="130"/>
      <x:c r="V34" s="130"/>
      <x:c r="W34" s="130"/>
      <x:c r="X34" s="130"/>
      <x:c r="Y34" s="130"/>
      <x:c r="Z34" s="130"/>
      <x:c r="AA34" s="130"/>
      <x:c r="AB34" s="130"/>
      <x:c r="AC34" s="130"/>
      <x:c r="AD34" s="130"/>
      <x:c r="AE34" s="130"/>
      <x:c r="AF34" s="130"/>
      <x:c r="AG34" s="130"/>
      <x:c r="AH34" s="130"/>
      <x:c r="AI34" s="130"/>
      <x:c r="AJ34" s="130"/>
      <x:c r="AK34" s="130"/>
      <x:c r="AL34" s="130"/>
      <x:c r="AM34" s="130"/>
      <x:c r="AN34" s="130"/>
      <x:c r="AO34" s="130"/>
      <x:c r="AP34" s="130"/>
      <x:c r="AQ34" s="130"/>
      <x:c r="AR34" s="130"/>
      <x:c r="AS34" s="130"/>
      <x:c r="AT34" s="130"/>
      <x:c r="AU34" s="130"/>
      <x:c r="AV34" s="130"/>
      <x:c r="AW34" s="130"/>
      <x:c r="AX34" s="130"/>
      <x:c r="AY34" s="130"/>
      <x:c r="AZ34" s="130"/>
    </x:row>
    <x:row r="35">
      <x:c r="A35" s="130"/>
      <x:c r="B35" s="130"/>
      <x:c r="C35" s="130"/>
      <x:c r="D35" s="130"/>
      <x:c r="E35" s="130"/>
      <x:c r="F35" s="130"/>
      <x:c r="G35" s="130"/>
      <x:c r="H35" s="130"/>
      <x:c r="I35" s="130"/>
      <x:c r="J35" s="130"/>
      <x:c r="K35" s="130"/>
      <x:c r="L35" s="130"/>
      <x:c r="M35" s="130"/>
      <x:c r="N35" s="130"/>
      <x:c r="O35" s="130"/>
      <x:c r="P35" s="130"/>
      <x:c r="Q35" s="130"/>
      <x:c r="R35" s="130"/>
      <x:c r="S35" s="130"/>
      <x:c r="T35" s="130"/>
      <x:c r="U35" s="130"/>
      <x:c r="V35" s="130"/>
      <x:c r="W35" s="130"/>
      <x:c r="X35" s="130"/>
      <x:c r="Y35" s="130"/>
      <x:c r="Z35" s="130"/>
      <x:c r="AA35" s="130"/>
      <x:c r="AB35" s="130"/>
      <x:c r="AC35" s="130"/>
      <x:c r="AD35" s="130"/>
      <x:c r="AE35" s="130"/>
      <x:c r="AF35" s="130"/>
      <x:c r="AG35" s="130"/>
      <x:c r="AH35" s="130"/>
      <x:c r="AI35" s="130"/>
      <x:c r="AJ35" s="130"/>
      <x:c r="AK35" s="130"/>
      <x:c r="AL35" s="130"/>
      <x:c r="AM35" s="130"/>
      <x:c r="AN35" s="130"/>
      <x:c r="AO35" s="130"/>
      <x:c r="AP35" s="130"/>
      <x:c r="AQ35" s="130"/>
      <x:c r="AR35" s="130"/>
      <x:c r="AS35" s="130"/>
      <x:c r="AT35" s="130"/>
      <x:c r="AU35" s="130"/>
      <x:c r="AV35" s="130"/>
      <x:c r="AW35" s="130"/>
      <x:c r="AX35" s="130"/>
      <x:c r="AY35" s="130"/>
      <x:c r="AZ35" s="130"/>
    </x:row>
    <x:row r="36">
      <x:c r="A36" s="130"/>
      <x:c r="B36" s="130"/>
      <x:c r="C36" s="130"/>
      <x:c r="D36" s="130"/>
      <x:c r="E36" s="130"/>
      <x:c r="F36" s="130"/>
      <x:c r="G36" s="130"/>
      <x:c r="H36" s="130"/>
      <x:c r="I36" s="130"/>
      <x:c r="J36" s="130"/>
      <x:c r="K36" s="130"/>
      <x:c r="L36" s="130"/>
      <x:c r="M36" s="130"/>
      <x:c r="N36" s="130"/>
      <x:c r="O36" s="130"/>
      <x:c r="P36" s="130"/>
      <x:c r="Q36" s="130"/>
      <x:c r="R36" s="130"/>
      <x:c r="S36" s="130"/>
      <x:c r="T36" s="130"/>
      <x:c r="U36" s="130"/>
      <x:c r="V36" s="130"/>
      <x:c r="W36" s="130"/>
      <x:c r="X36" s="130"/>
      <x:c r="Y36" s="130"/>
      <x:c r="Z36" s="130"/>
      <x:c r="AA36" s="130"/>
      <x:c r="AB36" s="130"/>
      <x:c r="AC36" s="130"/>
      <x:c r="AD36" s="130"/>
      <x:c r="AE36" s="130"/>
      <x:c r="AF36" s="130"/>
      <x:c r="AG36" s="130"/>
      <x:c r="AH36" s="130"/>
      <x:c r="AI36" s="130"/>
      <x:c r="AJ36" s="130"/>
      <x:c r="AK36" s="130"/>
      <x:c r="AL36" s="130"/>
      <x:c r="AM36" s="130"/>
      <x:c r="AN36" s="130"/>
      <x:c r="AO36" s="130"/>
      <x:c r="AP36" s="130"/>
      <x:c r="AQ36" s="130"/>
      <x:c r="AR36" s="130"/>
      <x:c r="AS36" s="130"/>
      <x:c r="AT36" s="130"/>
      <x:c r="AU36" s="130"/>
      <x:c r="AV36" s="130"/>
      <x:c r="AW36" s="130"/>
      <x:c r="AX36" s="130"/>
      <x:c r="AY36" s="130"/>
      <x:c r="AZ36" s="130"/>
    </x:row>
    <x:row r="37">
      <x:c r="A37" s="130"/>
      <x:c r="B37" s="130"/>
      <x:c r="C37" s="130"/>
      <x:c r="D37" s="130"/>
      <x:c r="E37" s="130"/>
      <x:c r="F37" s="130"/>
      <x:c r="G37" s="130"/>
      <x:c r="H37" s="130"/>
      <x:c r="I37" s="130"/>
      <x:c r="J37" s="130"/>
      <x:c r="K37" s="130"/>
      <x:c r="L37" s="130"/>
      <x:c r="M37" s="130"/>
      <x:c r="N37" s="130"/>
      <x:c r="O37" s="130"/>
      <x:c r="P37" s="130"/>
      <x:c r="Q37" s="130"/>
      <x:c r="R37" s="130"/>
      <x:c r="S37" s="130"/>
      <x:c r="T37" s="130"/>
      <x:c r="U37" s="130"/>
      <x:c r="V37" s="130"/>
      <x:c r="W37" s="130"/>
      <x:c r="X37" s="130"/>
      <x:c r="Y37" s="130"/>
      <x:c r="Z37" s="130"/>
      <x:c r="AA37" s="130"/>
      <x:c r="AB37" s="130"/>
      <x:c r="AC37" s="130"/>
      <x:c r="AD37" s="130"/>
      <x:c r="AE37" s="130"/>
      <x:c r="AF37" s="130"/>
      <x:c r="AG37" s="130"/>
      <x:c r="AH37" s="130"/>
      <x:c r="AI37" s="130"/>
      <x:c r="AJ37" s="130"/>
      <x:c r="AK37" s="130"/>
      <x:c r="AL37" s="130"/>
      <x:c r="AM37" s="130"/>
      <x:c r="AN37" s="130"/>
      <x:c r="AO37" s="130"/>
      <x:c r="AP37" s="130"/>
      <x:c r="AQ37" s="130"/>
      <x:c r="AR37" s="130"/>
      <x:c r="AS37" s="130"/>
      <x:c r="AT37" s="130"/>
      <x:c r="AU37" s="130"/>
      <x:c r="AV37" s="130"/>
      <x:c r="AW37" s="130"/>
      <x:c r="AX37" s="130"/>
      <x:c r="AY37" s="130"/>
      <x:c r="AZ37" s="130"/>
    </x:row>
    <x:row r="38">
      <x:c r="A38" s="130"/>
      <x:c r="B38" s="130"/>
      <x:c r="C38" s="130"/>
      <x:c r="D38" s="130"/>
      <x:c r="E38" s="130"/>
      <x:c r="F38" s="130"/>
      <x:c r="G38" s="130"/>
      <x:c r="H38" s="130"/>
      <x:c r="I38" s="130"/>
      <x:c r="J38" s="130"/>
      <x:c r="K38" s="130"/>
      <x:c r="L38" s="130"/>
      <x:c r="M38" s="130"/>
      <x:c r="N38" s="130"/>
      <x:c r="O38" s="130"/>
      <x:c r="P38" s="130"/>
      <x:c r="Q38" s="130"/>
      <x:c r="R38" s="130"/>
      <x:c r="S38" s="130"/>
      <x:c r="T38" s="130"/>
      <x:c r="U38" s="130"/>
      <x:c r="V38" s="130"/>
      <x:c r="W38" s="130"/>
      <x:c r="X38" s="130"/>
      <x:c r="Y38" s="130"/>
      <x:c r="Z38" s="130"/>
      <x:c r="AA38" s="130"/>
      <x:c r="AB38" s="130"/>
      <x:c r="AC38" s="130"/>
      <x:c r="AD38" s="130"/>
      <x:c r="AE38" s="130"/>
      <x:c r="AF38" s="130"/>
      <x:c r="AG38" s="130"/>
      <x:c r="AH38" s="130"/>
      <x:c r="AI38" s="130"/>
      <x:c r="AJ38" s="130"/>
      <x:c r="AK38" s="130"/>
      <x:c r="AL38" s="130"/>
      <x:c r="AM38" s="130"/>
      <x:c r="AN38" s="130"/>
      <x:c r="AO38" s="130"/>
      <x:c r="AP38" s="130"/>
      <x:c r="AQ38" s="130"/>
      <x:c r="AR38" s="130"/>
      <x:c r="AS38" s="130"/>
      <x:c r="AT38" s="130"/>
      <x:c r="AU38" s="130"/>
      <x:c r="AV38" s="130"/>
      <x:c r="AW38" s="130"/>
      <x:c r="AX38" s="130"/>
      <x:c r="AY38" s="130"/>
      <x:c r="AZ38" s="130"/>
    </x:row>
    <x:row r="39">
      <x:c r="A39" s="130"/>
      <x:c r="B39" s="130"/>
      <x:c r="C39" s="130"/>
      <x:c r="D39" s="130"/>
      <x:c r="E39" s="130"/>
      <x:c r="F39" s="130"/>
      <x:c r="G39" s="130"/>
      <x:c r="H39" s="130"/>
      <x:c r="I39" s="130"/>
      <x:c r="J39" s="130"/>
      <x:c r="K39" s="130"/>
      <x:c r="L39" s="130"/>
      <x:c r="M39" s="130"/>
      <x:c r="N39" s="130"/>
      <x:c r="O39" s="130"/>
      <x:c r="P39" s="130"/>
      <x:c r="Q39" s="130"/>
      <x:c r="R39" s="130"/>
      <x:c r="S39" s="130"/>
      <x:c r="T39" s="130"/>
      <x:c r="U39" s="130"/>
      <x:c r="V39" s="130"/>
      <x:c r="W39" s="130"/>
      <x:c r="X39" s="130"/>
      <x:c r="Y39" s="130"/>
      <x:c r="Z39" s="130"/>
      <x:c r="AA39" s="130"/>
      <x:c r="AB39" s="130"/>
      <x:c r="AC39" s="130"/>
      <x:c r="AD39" s="130"/>
      <x:c r="AE39" s="130"/>
      <x:c r="AF39" s="130"/>
      <x:c r="AG39" s="130"/>
      <x:c r="AH39" s="130"/>
      <x:c r="AI39" s="130"/>
      <x:c r="AJ39" s="130"/>
      <x:c r="AK39" s="130"/>
      <x:c r="AL39" s="130"/>
      <x:c r="AM39" s="130"/>
      <x:c r="AN39" s="130"/>
      <x:c r="AO39" s="130"/>
      <x:c r="AP39" s="130"/>
      <x:c r="AQ39" s="130"/>
      <x:c r="AR39" s="130"/>
      <x:c r="AS39" s="130"/>
      <x:c r="AT39" s="130"/>
      <x:c r="AU39" s="130"/>
      <x:c r="AV39" s="130"/>
      <x:c r="AW39" s="130"/>
      <x:c r="AX39" s="130"/>
      <x:c r="AY39" s="130"/>
      <x:c r="AZ39" s="130"/>
    </x:row>
    <x:row r="40">
      <x:c r="A40" s="130"/>
      <x:c r="B40" s="130"/>
      <x:c r="C40" s="130"/>
      <x:c r="D40" s="130"/>
      <x:c r="E40" s="130"/>
      <x:c r="F40" s="130"/>
      <x:c r="G40" s="130"/>
      <x:c r="H40" s="130"/>
      <x:c r="I40" s="130"/>
      <x:c r="J40" s="130"/>
      <x:c r="K40" s="130"/>
      <x:c r="L40" s="130"/>
      <x:c r="M40" s="130"/>
      <x:c r="N40" s="130"/>
      <x:c r="O40" s="130"/>
      <x:c r="P40" s="130"/>
      <x:c r="Q40" s="130"/>
      <x:c r="R40" s="130"/>
      <x:c r="S40" s="130"/>
      <x:c r="T40" s="130"/>
      <x:c r="U40" s="130"/>
      <x:c r="V40" s="130"/>
      <x:c r="W40" s="130"/>
      <x:c r="X40" s="130"/>
      <x:c r="Y40" s="130"/>
      <x:c r="Z40" s="130"/>
      <x:c r="AA40" s="130"/>
      <x:c r="AB40" s="130"/>
      <x:c r="AC40" s="130"/>
      <x:c r="AD40" s="130"/>
      <x:c r="AE40" s="130"/>
      <x:c r="AF40" s="130"/>
      <x:c r="AG40" s="130"/>
      <x:c r="AH40" s="130"/>
      <x:c r="AI40" s="130"/>
      <x:c r="AJ40" s="130"/>
      <x:c r="AK40" s="130"/>
      <x:c r="AL40" s="130"/>
      <x:c r="AM40" s="130"/>
      <x:c r="AN40" s="130"/>
      <x:c r="AO40" s="130"/>
      <x:c r="AP40" s="130"/>
      <x:c r="AQ40" s="130"/>
      <x:c r="AR40" s="130"/>
      <x:c r="AS40" s="130"/>
      <x:c r="AT40" s="130"/>
      <x:c r="AU40" s="130"/>
      <x:c r="AV40" s="130"/>
      <x:c r="AW40" s="130"/>
      <x:c r="AX40" s="130"/>
      <x:c r="AY40" s="130"/>
      <x:c r="AZ40" s="130"/>
    </x:row>
    <x:row r="41">
      <x:c r="A41" s="130"/>
      <x:c r="B41" s="130"/>
      <x:c r="C41" s="130"/>
      <x:c r="D41" s="130"/>
      <x:c r="E41" s="130"/>
      <x:c r="F41" s="130"/>
      <x:c r="G41" s="130"/>
      <x:c r="H41" s="130"/>
      <x:c r="I41" s="130"/>
      <x:c r="J41" s="130"/>
      <x:c r="K41" s="130"/>
      <x:c r="L41" s="130"/>
      <x:c r="M41" s="130"/>
      <x:c r="N41" s="130"/>
      <x:c r="O41" s="130"/>
      <x:c r="P41" s="130"/>
      <x:c r="Q41" s="130"/>
      <x:c r="R41" s="130"/>
      <x:c r="S41" s="130"/>
      <x:c r="T41" s="130"/>
      <x:c r="U41" s="130"/>
      <x:c r="V41" s="130"/>
      <x:c r="W41" s="130"/>
      <x:c r="X41" s="130"/>
      <x:c r="Y41" s="130"/>
      <x:c r="Z41" s="130"/>
      <x:c r="AA41" s="130"/>
      <x:c r="AB41" s="130"/>
      <x:c r="AC41" s="130"/>
      <x:c r="AD41" s="130"/>
      <x:c r="AE41" s="130"/>
      <x:c r="AF41" s="130"/>
      <x:c r="AG41" s="130"/>
      <x:c r="AH41" s="130"/>
      <x:c r="AI41" s="130"/>
      <x:c r="AJ41" s="130"/>
      <x:c r="AK41" s="130"/>
      <x:c r="AL41" s="130"/>
      <x:c r="AM41" s="130"/>
      <x:c r="AN41" s="130"/>
      <x:c r="AO41" s="130"/>
      <x:c r="AP41" s="130"/>
      <x:c r="AQ41" s="130"/>
      <x:c r="AR41" s="130"/>
      <x:c r="AS41" s="130"/>
      <x:c r="AT41" s="130"/>
      <x:c r="AU41" s="130"/>
      <x:c r="AV41" s="130"/>
      <x:c r="AW41" s="130"/>
      <x:c r="AX41" s="130"/>
      <x:c r="AY41" s="130"/>
      <x:c r="AZ41" s="130"/>
    </x:row>
    <x:row r="42">
      <x:c r="A42" s="130"/>
      <x:c r="B42" s="130"/>
      <x:c r="C42" s="130"/>
      <x:c r="D42" s="130"/>
      <x:c r="E42" s="130"/>
      <x:c r="F42" s="130"/>
      <x:c r="G42" s="130"/>
      <x:c r="H42" s="130"/>
      <x:c r="I42" s="130"/>
      <x:c r="J42" s="130"/>
      <x:c r="K42" s="130"/>
      <x:c r="L42" s="130"/>
      <x:c r="M42" s="130"/>
      <x:c r="N42" s="130"/>
      <x:c r="O42" s="130"/>
      <x:c r="P42" s="130"/>
      <x:c r="Q42" s="130"/>
      <x:c r="R42" s="130"/>
      <x:c r="S42" s="130"/>
      <x:c r="T42" s="130"/>
      <x:c r="U42" s="130"/>
      <x:c r="V42" s="130"/>
      <x:c r="W42" s="130"/>
      <x:c r="X42" s="130"/>
      <x:c r="Y42" s="130"/>
      <x:c r="Z42" s="130"/>
      <x:c r="AA42" s="130"/>
      <x:c r="AB42" s="130"/>
      <x:c r="AC42" s="130"/>
      <x:c r="AD42" s="130"/>
      <x:c r="AE42" s="130"/>
      <x:c r="AF42" s="130"/>
      <x:c r="AG42" s="130"/>
      <x:c r="AH42" s="130"/>
      <x:c r="AI42" s="130"/>
      <x:c r="AJ42" s="130"/>
      <x:c r="AK42" s="130"/>
      <x:c r="AL42" s="130"/>
      <x:c r="AM42" s="130"/>
      <x:c r="AN42" s="130"/>
      <x:c r="AO42" s="130"/>
      <x:c r="AP42" s="130"/>
      <x:c r="AQ42" s="130"/>
      <x:c r="AR42" s="130"/>
      <x:c r="AS42" s="130"/>
      <x:c r="AT42" s="130"/>
      <x:c r="AU42" s="130"/>
      <x:c r="AV42" s="130"/>
      <x:c r="AW42" s="130"/>
      <x:c r="AX42" s="130"/>
      <x:c r="AY42" s="130"/>
      <x:c r="AZ42" s="130"/>
    </x:row>
    <x:row r="43">
      <x:c r="A43" s="130"/>
      <x:c r="B43" s="130"/>
      <x:c r="C43" s="130"/>
      <x:c r="D43" s="130"/>
      <x:c r="E43" s="130"/>
      <x:c r="F43" s="130"/>
      <x:c r="G43" s="130"/>
      <x:c r="H43" s="130"/>
      <x:c r="I43" s="130"/>
      <x:c r="J43" s="130"/>
      <x:c r="K43" s="130"/>
      <x:c r="L43" s="130"/>
      <x:c r="M43" s="130"/>
      <x:c r="N43" s="130"/>
      <x:c r="O43" s="130"/>
      <x:c r="P43" s="130"/>
      <x:c r="Q43" s="130"/>
      <x:c r="R43" s="130"/>
      <x:c r="S43" s="130"/>
      <x:c r="T43" s="130"/>
      <x:c r="U43" s="130"/>
      <x:c r="V43" s="130"/>
      <x:c r="W43" s="130"/>
      <x:c r="X43" s="130"/>
      <x:c r="Y43" s="130"/>
      <x:c r="Z43" s="130"/>
      <x:c r="AA43" s="130"/>
      <x:c r="AB43" s="130"/>
      <x:c r="AC43" s="130"/>
      <x:c r="AD43" s="130"/>
      <x:c r="AE43" s="130"/>
      <x:c r="AF43" s="130"/>
      <x:c r="AG43" s="130"/>
      <x:c r="AH43" s="130"/>
      <x:c r="AI43" s="130"/>
      <x:c r="AJ43" s="130"/>
      <x:c r="AK43" s="130"/>
      <x:c r="AL43" s="130"/>
      <x:c r="AM43" s="130"/>
      <x:c r="AN43" s="130"/>
      <x:c r="AO43" s="130"/>
      <x:c r="AP43" s="130"/>
      <x:c r="AQ43" s="130"/>
      <x:c r="AR43" s="130"/>
      <x:c r="AS43" s="130"/>
      <x:c r="AT43" s="130"/>
      <x:c r="AU43" s="130"/>
      <x:c r="AV43" s="130"/>
      <x:c r="AW43" s="130"/>
      <x:c r="AX43" s="130"/>
      <x:c r="AY43" s="130"/>
      <x:c r="AZ43" s="130"/>
    </x:row>
    <x:row r="44">
      <x:c r="A44" s="130"/>
      <x:c r="B44" s="130"/>
      <x:c r="C44" s="130"/>
      <x:c r="D44" s="130"/>
      <x:c r="E44" s="130"/>
      <x:c r="F44" s="130"/>
      <x:c r="G44" s="130"/>
      <x:c r="H44" s="130"/>
      <x:c r="I44" s="130"/>
      <x:c r="J44" s="130"/>
      <x:c r="K44" s="130"/>
      <x:c r="L44" s="130"/>
      <x:c r="M44" s="130"/>
      <x:c r="N44" s="130"/>
      <x:c r="O44" s="130"/>
      <x:c r="P44" s="130"/>
      <x:c r="Q44" s="130"/>
      <x:c r="R44" s="130"/>
      <x:c r="S44" s="130"/>
      <x:c r="T44" s="130"/>
      <x:c r="U44" s="130"/>
      <x:c r="V44" s="130"/>
      <x:c r="W44" s="130"/>
      <x:c r="X44" s="130"/>
      <x:c r="Y44" s="130"/>
      <x:c r="Z44" s="130"/>
      <x:c r="AA44" s="130"/>
      <x:c r="AB44" s="130"/>
      <x:c r="AC44" s="130"/>
      <x:c r="AD44" s="130"/>
      <x:c r="AE44" s="130"/>
      <x:c r="AF44" s="130"/>
      <x:c r="AG44" s="130"/>
      <x:c r="AH44" s="130"/>
      <x:c r="AI44" s="130"/>
      <x:c r="AJ44" s="130"/>
      <x:c r="AK44" s="130"/>
      <x:c r="AL44" s="130"/>
      <x:c r="AM44" s="130"/>
      <x:c r="AN44" s="130"/>
      <x:c r="AO44" s="130"/>
      <x:c r="AP44" s="130"/>
      <x:c r="AQ44" s="130"/>
      <x:c r="AR44" s="130"/>
      <x:c r="AS44" s="130"/>
      <x:c r="AT44" s="130"/>
      <x:c r="AU44" s="130"/>
      <x:c r="AV44" s="130"/>
      <x:c r="AW44" s="130"/>
      <x:c r="AX44" s="130"/>
      <x:c r="AY44" s="130"/>
      <x:c r="AZ44" s="130"/>
    </x:row>
    <x:row r="45">
      <x:c r="A45" s="130"/>
      <x:c r="B45" s="130"/>
      <x:c r="C45" s="130"/>
      <x:c r="D45" s="130"/>
      <x:c r="E45" s="130"/>
      <x:c r="F45" s="130"/>
      <x:c r="G45" s="130"/>
      <x:c r="H45" s="130"/>
      <x:c r="I45" s="130"/>
      <x:c r="J45" s="130"/>
      <x:c r="K45" s="130"/>
      <x:c r="L45" s="130"/>
      <x:c r="M45" s="130"/>
      <x:c r="N45" s="130"/>
      <x:c r="O45" s="130"/>
      <x:c r="P45" s="130"/>
      <x:c r="Q45" s="130"/>
      <x:c r="R45" s="130"/>
      <x:c r="S45" s="130"/>
      <x:c r="T45" s="130"/>
      <x:c r="U45" s="130"/>
      <x:c r="V45" s="130"/>
      <x:c r="W45" s="130"/>
      <x:c r="X45" s="130"/>
      <x:c r="Y45" s="130"/>
      <x:c r="Z45" s="130"/>
      <x:c r="AA45" s="130"/>
      <x:c r="AB45" s="130"/>
      <x:c r="AC45" s="130"/>
      <x:c r="AD45" s="130"/>
      <x:c r="AE45" s="130"/>
      <x:c r="AF45" s="130"/>
      <x:c r="AG45" s="130"/>
      <x:c r="AH45" s="130"/>
      <x:c r="AI45" s="130"/>
      <x:c r="AJ45" s="130"/>
      <x:c r="AK45" s="130"/>
      <x:c r="AL45" s="130"/>
      <x:c r="AM45" s="130"/>
      <x:c r="AN45" s="130"/>
      <x:c r="AO45" s="130"/>
      <x:c r="AP45" s="130"/>
      <x:c r="AQ45" s="130"/>
      <x:c r="AR45" s="130"/>
      <x:c r="AS45" s="130"/>
      <x:c r="AT45" s="130"/>
      <x:c r="AU45" s="130"/>
      <x:c r="AV45" s="130"/>
      <x:c r="AW45" s="130"/>
      <x:c r="AX45" s="130"/>
      <x:c r="AY45" s="130"/>
      <x:c r="AZ45" s="130"/>
    </x:row>
    <x:row r="46">
      <x:c r="A46" s="130"/>
      <x:c r="B46" s="130"/>
      <x:c r="C46" s="130"/>
      <x:c r="D46" s="130"/>
      <x:c r="E46" s="130"/>
      <x:c r="F46" s="130"/>
      <x:c r="G46" s="130"/>
      <x:c r="H46" s="130"/>
      <x:c r="I46" s="130"/>
      <x:c r="J46" s="130"/>
      <x:c r="K46" s="130"/>
      <x:c r="L46" s="130"/>
      <x:c r="M46" s="130"/>
      <x:c r="N46" s="130"/>
      <x:c r="O46" s="130"/>
      <x:c r="P46" s="130"/>
      <x:c r="Q46" s="130"/>
      <x:c r="R46" s="130"/>
      <x:c r="S46" s="130"/>
      <x:c r="T46" s="130"/>
      <x:c r="U46" s="130"/>
      <x:c r="V46" s="130"/>
      <x:c r="W46" s="130"/>
      <x:c r="X46" s="130"/>
      <x:c r="Y46" s="130"/>
      <x:c r="Z46" s="130"/>
      <x:c r="AA46" s="130"/>
      <x:c r="AB46" s="130"/>
      <x:c r="AC46" s="130"/>
      <x:c r="AD46" s="130"/>
      <x:c r="AE46" s="130"/>
      <x:c r="AF46" s="130"/>
      <x:c r="AG46" s="130"/>
      <x:c r="AH46" s="130"/>
      <x:c r="AI46" s="130"/>
      <x:c r="AJ46" s="130"/>
      <x:c r="AK46" s="130"/>
      <x:c r="AL46" s="130"/>
      <x:c r="AM46" s="130"/>
      <x:c r="AN46" s="130"/>
      <x:c r="AO46" s="130"/>
      <x:c r="AP46" s="130"/>
      <x:c r="AQ46" s="130"/>
      <x:c r="AR46" s="130"/>
      <x:c r="AS46" s="130"/>
      <x:c r="AT46" s="130"/>
      <x:c r="AU46" s="130"/>
      <x:c r="AV46" s="130"/>
      <x:c r="AW46" s="130"/>
      <x:c r="AX46" s="130"/>
      <x:c r="AY46" s="130"/>
      <x:c r="AZ46" s="130"/>
    </x:row>
    <x:row r="47">
      <x:c r="A47" s="130"/>
      <x:c r="B47" s="130"/>
      <x:c r="C47" s="130"/>
      <x:c r="D47" s="130"/>
      <x:c r="E47" s="130"/>
      <x:c r="F47" s="130"/>
      <x:c r="G47" s="130"/>
      <x:c r="H47" s="130"/>
      <x:c r="I47" s="130"/>
      <x:c r="J47" s="130"/>
      <x:c r="K47" s="130"/>
      <x:c r="L47" s="130"/>
      <x:c r="M47" s="130"/>
      <x:c r="N47" s="130"/>
      <x:c r="O47" s="130"/>
      <x:c r="P47" s="130"/>
      <x:c r="Q47" s="130"/>
      <x:c r="R47" s="130"/>
      <x:c r="S47" s="130"/>
      <x:c r="T47" s="130"/>
      <x:c r="U47" s="130"/>
      <x:c r="V47" s="130"/>
      <x:c r="W47" s="130"/>
      <x:c r="X47" s="130"/>
      <x:c r="Y47" s="130"/>
      <x:c r="Z47" s="130"/>
      <x:c r="AA47" s="130"/>
      <x:c r="AB47" s="130"/>
      <x:c r="AC47" s="130"/>
      <x:c r="AD47" s="130"/>
      <x:c r="AE47" s="130"/>
      <x:c r="AF47" s="130"/>
      <x:c r="AG47" s="130"/>
      <x:c r="AH47" s="130"/>
      <x:c r="AI47" s="130"/>
      <x:c r="AJ47" s="130"/>
      <x:c r="AK47" s="130"/>
      <x:c r="AL47" s="130"/>
      <x:c r="AM47" s="130"/>
      <x:c r="AN47" s="130"/>
      <x:c r="AO47" s="130"/>
      <x:c r="AP47" s="130"/>
      <x:c r="AQ47" s="130"/>
      <x:c r="AR47" s="130"/>
      <x:c r="AS47" s="130"/>
      <x:c r="AT47" s="130"/>
      <x:c r="AU47" s="130"/>
      <x:c r="AV47" s="130"/>
      <x:c r="AW47" s="130"/>
      <x:c r="AX47" s="130"/>
      <x:c r="AY47" s="130"/>
      <x:c r="AZ47" s="130"/>
    </x:row>
    <x:row r="48">
      <x:c r="A48" s="130"/>
      <x:c r="B48" s="130"/>
      <x:c r="C48" s="130"/>
      <x:c r="D48" s="130"/>
      <x:c r="E48" s="130"/>
      <x:c r="F48" s="130"/>
      <x:c r="G48" s="130"/>
      <x:c r="H48" s="130"/>
      <x:c r="I48" s="130"/>
      <x:c r="J48" s="130"/>
      <x:c r="K48" s="130"/>
      <x:c r="L48" s="130"/>
      <x:c r="M48" s="130"/>
      <x:c r="N48" s="130"/>
      <x:c r="O48" s="130"/>
      <x:c r="P48" s="130"/>
      <x:c r="Q48" s="130"/>
      <x:c r="R48" s="130"/>
      <x:c r="S48" s="130"/>
      <x:c r="T48" s="130"/>
      <x:c r="U48" s="130"/>
      <x:c r="V48" s="130"/>
      <x:c r="W48" s="130"/>
      <x:c r="X48" s="130"/>
      <x:c r="Y48" s="130"/>
      <x:c r="Z48" s="130"/>
      <x:c r="AA48" s="130"/>
      <x:c r="AB48" s="130"/>
      <x:c r="AC48" s="130"/>
      <x:c r="AD48" s="130"/>
      <x:c r="AE48" s="130"/>
      <x:c r="AF48" s="130"/>
      <x:c r="AG48" s="130"/>
      <x:c r="AH48" s="130"/>
      <x:c r="AI48" s="130"/>
      <x:c r="AJ48" s="130"/>
      <x:c r="AK48" s="130"/>
      <x:c r="AL48" s="130"/>
      <x:c r="AM48" s="130"/>
      <x:c r="AN48" s="130"/>
      <x:c r="AO48" s="130"/>
      <x:c r="AP48" s="130"/>
      <x:c r="AQ48" s="130"/>
      <x:c r="AR48" s="130"/>
      <x:c r="AS48" s="130"/>
      <x:c r="AT48" s="130"/>
      <x:c r="AU48" s="130"/>
      <x:c r="AV48" s="130"/>
      <x:c r="AW48" s="130"/>
      <x:c r="AX48" s="130"/>
      <x:c r="AY48" s="130"/>
      <x:c r="AZ48" s="130"/>
    </x:row>
    <x:row r="49">
      <x:c r="A49" s="130"/>
      <x:c r="B49" s="130"/>
      <x:c r="C49" s="130"/>
      <x:c r="D49" s="130"/>
      <x:c r="E49" s="130"/>
      <x:c r="F49" s="130"/>
      <x:c r="G49" s="130"/>
      <x:c r="H49" s="130"/>
      <x:c r="I49" s="130"/>
      <x:c r="J49" s="130"/>
      <x:c r="K49" s="130"/>
      <x:c r="L49" s="130"/>
      <x:c r="M49" s="130"/>
      <x:c r="N49" s="130"/>
      <x:c r="O49" s="130"/>
      <x:c r="P49" s="130"/>
      <x:c r="Q49" s="130"/>
      <x:c r="R49" s="130"/>
      <x:c r="S49" s="130"/>
      <x:c r="T49" s="130"/>
      <x:c r="U49" s="130"/>
      <x:c r="V49" s="130"/>
      <x:c r="W49" s="130"/>
      <x:c r="X49" s="130"/>
      <x:c r="Y49" s="130"/>
      <x:c r="Z49" s="130"/>
      <x:c r="AA49" s="130"/>
      <x:c r="AB49" s="130"/>
      <x:c r="AC49" s="130"/>
      <x:c r="AD49" s="130"/>
      <x:c r="AE49" s="130"/>
      <x:c r="AF49" s="130"/>
      <x:c r="AG49" s="130"/>
      <x:c r="AH49" s="130"/>
      <x:c r="AI49" s="130"/>
      <x:c r="AJ49" s="130"/>
      <x:c r="AK49" s="130"/>
      <x:c r="AL49" s="130"/>
      <x:c r="AM49" s="130"/>
      <x:c r="AN49" s="130"/>
      <x:c r="AO49" s="130"/>
      <x:c r="AP49" s="130"/>
      <x:c r="AQ49" s="130"/>
      <x:c r="AR49" s="130"/>
      <x:c r="AS49" s="130"/>
      <x:c r="AT49" s="130"/>
      <x:c r="AU49" s="130"/>
      <x:c r="AV49" s="130"/>
      <x:c r="AW49" s="130"/>
      <x:c r="AX49" s="130"/>
      <x:c r="AY49" s="130"/>
      <x:c r="AZ49" s="130"/>
    </x:row>
    <x:row r="50">
      <x:c r="A50" s="130"/>
      <x:c r="B50" s="130"/>
      <x:c r="C50" s="130"/>
      <x:c r="D50" s="130"/>
      <x:c r="E50" s="130"/>
      <x:c r="F50" s="130"/>
      <x:c r="G50" s="130"/>
      <x:c r="H50" s="130"/>
      <x:c r="I50" s="130"/>
      <x:c r="J50" s="130"/>
      <x:c r="K50" s="130"/>
      <x:c r="L50" s="130"/>
      <x:c r="M50" s="130"/>
      <x:c r="N50" s="130"/>
      <x:c r="O50" s="130"/>
      <x:c r="P50" s="130"/>
      <x:c r="Q50" s="130"/>
      <x:c r="R50" s="130"/>
      <x:c r="S50" s="130"/>
      <x:c r="T50" s="130"/>
      <x:c r="U50" s="130"/>
      <x:c r="V50" s="130"/>
      <x:c r="W50" s="130"/>
      <x:c r="X50" s="130"/>
      <x:c r="Y50" s="130"/>
      <x:c r="Z50" s="130"/>
      <x:c r="AA50" s="130"/>
      <x:c r="AB50" s="130"/>
      <x:c r="AC50" s="130"/>
      <x:c r="AD50" s="130"/>
      <x:c r="AE50" s="130"/>
      <x:c r="AF50" s="130"/>
      <x:c r="AG50" s="130"/>
      <x:c r="AH50" s="130"/>
      <x:c r="AI50" s="130"/>
      <x:c r="AJ50" s="130"/>
      <x:c r="AK50" s="130"/>
      <x:c r="AL50" s="130"/>
      <x:c r="AM50" s="130"/>
      <x:c r="AN50" s="130"/>
      <x:c r="AO50" s="130"/>
      <x:c r="AP50" s="130"/>
      <x:c r="AQ50" s="130"/>
      <x:c r="AR50" s="130"/>
      <x:c r="AS50" s="130"/>
      <x:c r="AT50" s="130"/>
      <x:c r="AU50" s="130"/>
      <x:c r="AV50" s="130"/>
      <x:c r="AW50" s="130"/>
      <x:c r="AX50" s="130"/>
      <x:c r="AY50" s="130"/>
      <x:c r="AZ50" s="130"/>
    </x:row>
    <x:row r="51">
      <x:c r="A51" s="130"/>
      <x:c r="B51" s="130"/>
      <x:c r="C51" s="130"/>
      <x:c r="D51" s="130"/>
      <x:c r="E51" s="130"/>
      <x:c r="F51" s="130"/>
      <x:c r="G51" s="130"/>
      <x:c r="H51" s="130"/>
      <x:c r="I51" s="130"/>
      <x:c r="J51" s="130"/>
      <x:c r="K51" s="130"/>
      <x:c r="L51" s="130"/>
      <x:c r="M51" s="130"/>
      <x:c r="N51" s="130"/>
      <x:c r="O51" s="130"/>
      <x:c r="P51" s="130"/>
      <x:c r="Q51" s="130"/>
      <x:c r="R51" s="130"/>
      <x:c r="S51" s="130"/>
      <x:c r="T51" s="130"/>
      <x:c r="U51" s="130"/>
      <x:c r="V51" s="130"/>
      <x:c r="W51" s="130"/>
      <x:c r="X51" s="130"/>
      <x:c r="Y51" s="130"/>
      <x:c r="Z51" s="130"/>
      <x:c r="AA51" s="130"/>
      <x:c r="AB51" s="130"/>
      <x:c r="AC51" s="130"/>
      <x:c r="AD51" s="130"/>
      <x:c r="AE51" s="130"/>
      <x:c r="AF51" s="130"/>
      <x:c r="AG51" s="130"/>
      <x:c r="AH51" s="130"/>
      <x:c r="AI51" s="130"/>
      <x:c r="AJ51" s="130"/>
      <x:c r="AK51" s="130"/>
      <x:c r="AL51" s="130"/>
      <x:c r="AM51" s="130"/>
      <x:c r="AN51" s="130"/>
      <x:c r="AO51" s="130"/>
      <x:c r="AP51" s="130"/>
      <x:c r="AQ51" s="130"/>
      <x:c r="AR51" s="130"/>
      <x:c r="AS51" s="130"/>
      <x:c r="AT51" s="130"/>
      <x:c r="AU51" s="130"/>
      <x:c r="AV51" s="130"/>
      <x:c r="AW51" s="130"/>
      <x:c r="AX51" s="130"/>
      <x:c r="AY51" s="130"/>
      <x:c r="AZ51" s="130"/>
    </x:row>
    <x:row r="52">
      <x:c r="A52" s="130"/>
      <x:c r="B52" s="130"/>
      <x:c r="C52" s="130"/>
      <x:c r="D52" s="130"/>
      <x:c r="E52" s="130"/>
      <x:c r="F52" s="130"/>
      <x:c r="G52" s="130"/>
      <x:c r="H52" s="130"/>
      <x:c r="I52" s="130"/>
      <x:c r="J52" s="130"/>
      <x:c r="K52" s="130"/>
      <x:c r="L52" s="130"/>
      <x:c r="M52" s="130"/>
      <x:c r="N52" s="130"/>
      <x:c r="O52" s="130"/>
      <x:c r="P52" s="130"/>
      <x:c r="Q52" s="130"/>
      <x:c r="R52" s="130"/>
      <x:c r="S52" s="130"/>
      <x:c r="T52" s="130"/>
      <x:c r="U52" s="130"/>
      <x:c r="V52" s="130"/>
      <x:c r="W52" s="130"/>
      <x:c r="X52" s="130"/>
      <x:c r="Y52" s="130"/>
      <x:c r="Z52" s="130"/>
      <x:c r="AA52" s="130"/>
      <x:c r="AB52" s="130"/>
      <x:c r="AC52" s="130"/>
      <x:c r="AD52" s="130"/>
      <x:c r="AE52" s="130"/>
      <x:c r="AF52" s="130"/>
      <x:c r="AG52" s="130"/>
      <x:c r="AH52" s="130"/>
      <x:c r="AI52" s="130"/>
      <x:c r="AJ52" s="130"/>
      <x:c r="AK52" s="130"/>
      <x:c r="AL52" s="130"/>
      <x:c r="AM52" s="130"/>
      <x:c r="AN52" s="130"/>
      <x:c r="AO52" s="130"/>
      <x:c r="AP52" s="130"/>
      <x:c r="AQ52" s="130"/>
      <x:c r="AR52" s="130"/>
      <x:c r="AS52" s="130"/>
      <x:c r="AT52" s="130"/>
      <x:c r="AU52" s="130"/>
      <x:c r="AV52" s="130"/>
      <x:c r="AW52" s="130"/>
      <x:c r="AX52" s="130"/>
      <x:c r="AY52" s="130"/>
      <x:c r="AZ52" s="130"/>
    </x:row>
    <x:row r="53">
      <x:c r="A53" s="130"/>
      <x:c r="B53" s="130"/>
      <x:c r="C53" s="130"/>
      <x:c r="D53" s="130"/>
      <x:c r="E53" s="130"/>
      <x:c r="F53" s="130"/>
      <x:c r="G53" s="130"/>
      <x:c r="H53" s="130"/>
      <x:c r="I53" s="130"/>
      <x:c r="J53" s="130"/>
      <x:c r="K53" s="130"/>
      <x:c r="L53" s="130"/>
      <x:c r="M53" s="130"/>
      <x:c r="N53" s="130"/>
      <x:c r="O53" s="130"/>
      <x:c r="P53" s="130"/>
      <x:c r="Q53" s="130"/>
      <x:c r="R53" s="130"/>
      <x:c r="S53" s="130"/>
      <x:c r="T53" s="130"/>
      <x:c r="U53" s="130"/>
      <x:c r="V53" s="130"/>
      <x:c r="W53" s="130"/>
      <x:c r="X53" s="130"/>
      <x:c r="Y53" s="130"/>
      <x:c r="Z53" s="130"/>
      <x:c r="AA53" s="130"/>
      <x:c r="AB53" s="130"/>
      <x:c r="AC53" s="130"/>
      <x:c r="AD53" s="130"/>
      <x:c r="AE53" s="130"/>
      <x:c r="AF53" s="130"/>
      <x:c r="AG53" s="130"/>
      <x:c r="AH53" s="130"/>
      <x:c r="AI53" s="130"/>
      <x:c r="AJ53" s="130"/>
      <x:c r="AK53" s="130"/>
      <x:c r="AL53" s="130"/>
      <x:c r="AM53" s="130"/>
      <x:c r="AN53" s="130"/>
      <x:c r="AO53" s="130"/>
      <x:c r="AP53" s="130"/>
      <x:c r="AQ53" s="130"/>
      <x:c r="AR53" s="130"/>
      <x:c r="AS53" s="130"/>
      <x:c r="AT53" s="130"/>
      <x:c r="AU53" s="130"/>
      <x:c r="AV53" s="130"/>
      <x:c r="AW53" s="130"/>
      <x:c r="AX53" s="130"/>
      <x:c r="AY53" s="130"/>
      <x:c r="AZ53" s="130"/>
    </x:row>
    <x:row r="54">
      <x:c r="A54" s="130"/>
      <x:c r="B54" s="130"/>
      <x:c r="C54" s="130"/>
      <x:c r="D54" s="130"/>
      <x:c r="E54" s="130"/>
      <x:c r="F54" s="130"/>
      <x:c r="G54" s="130"/>
      <x:c r="H54" s="130"/>
      <x:c r="I54" s="130"/>
      <x:c r="J54" s="130"/>
      <x:c r="K54" s="130"/>
      <x:c r="L54" s="130"/>
      <x:c r="M54" s="130"/>
      <x:c r="N54" s="130"/>
      <x:c r="O54" s="130"/>
      <x:c r="P54" s="130"/>
      <x:c r="Q54" s="130"/>
      <x:c r="R54" s="130"/>
      <x:c r="S54" s="130"/>
      <x:c r="T54" s="130"/>
      <x:c r="U54" s="130"/>
      <x:c r="V54" s="130"/>
      <x:c r="W54" s="130"/>
      <x:c r="X54" s="130"/>
      <x:c r="Y54" s="130"/>
      <x:c r="Z54" s="130"/>
      <x:c r="AA54" s="130"/>
      <x:c r="AB54" s="130"/>
      <x:c r="AC54" s="130"/>
      <x:c r="AD54" s="130"/>
      <x:c r="AE54" s="130"/>
      <x:c r="AF54" s="130"/>
      <x:c r="AG54" s="130"/>
      <x:c r="AH54" s="130"/>
      <x:c r="AI54" s="130"/>
      <x:c r="AJ54" s="130"/>
      <x:c r="AK54" s="130"/>
      <x:c r="AL54" s="130"/>
      <x:c r="AM54" s="130"/>
      <x:c r="AN54" s="130"/>
      <x:c r="AO54" s="130"/>
      <x:c r="AP54" s="130"/>
      <x:c r="AQ54" s="130"/>
      <x:c r="AR54" s="130"/>
      <x:c r="AS54" s="130"/>
      <x:c r="AT54" s="130"/>
      <x:c r="AU54" s="130"/>
      <x:c r="AV54" s="130"/>
      <x:c r="AW54" s="130"/>
      <x:c r="AX54" s="130"/>
      <x:c r="AY54" s="130"/>
      <x:c r="AZ54" s="130"/>
    </x:row>
    <x:row r="55">
      <x:c r="A55" s="130"/>
      <x:c r="B55" s="130"/>
      <x:c r="C55" s="130"/>
      <x:c r="D55" s="130"/>
      <x:c r="E55" s="130"/>
      <x:c r="F55" s="130"/>
      <x:c r="G55" s="130"/>
      <x:c r="H55" s="130"/>
      <x:c r="I55" s="130"/>
      <x:c r="J55" s="130"/>
      <x:c r="K55" s="130"/>
      <x:c r="L55" s="130"/>
      <x:c r="M55" s="130"/>
      <x:c r="N55" s="130"/>
      <x:c r="O55" s="130"/>
      <x:c r="P55" s="130"/>
      <x:c r="Q55" s="130"/>
      <x:c r="R55" s="130"/>
      <x:c r="S55" s="130"/>
      <x:c r="T55" s="130"/>
      <x:c r="U55" s="130"/>
      <x:c r="V55" s="130"/>
      <x:c r="W55" s="130"/>
      <x:c r="X55" s="130"/>
      <x:c r="Y55" s="130"/>
      <x:c r="Z55" s="130"/>
      <x:c r="AA55" s="130"/>
      <x:c r="AB55" s="130"/>
      <x:c r="AC55" s="130"/>
      <x:c r="AD55" s="130"/>
      <x:c r="AE55" s="130"/>
      <x:c r="AF55" s="130"/>
      <x:c r="AG55" s="130"/>
      <x:c r="AH55" s="130"/>
      <x:c r="AI55" s="130"/>
      <x:c r="AJ55" s="130"/>
      <x:c r="AK55" s="130"/>
      <x:c r="AL55" s="130"/>
      <x:c r="AM55" s="130"/>
      <x:c r="AN55" s="130"/>
      <x:c r="AO55" s="130"/>
      <x:c r="AP55" s="130"/>
      <x:c r="AQ55" s="130"/>
      <x:c r="AR55" s="130"/>
      <x:c r="AS55" s="130"/>
      <x:c r="AT55" s="130"/>
      <x:c r="AU55" s="130"/>
      <x:c r="AV55" s="130"/>
      <x:c r="AW55" s="130"/>
      <x:c r="AX55" s="130"/>
      <x:c r="AY55" s="130"/>
      <x:c r="AZ55" s="130"/>
    </x:row>
    <x:row r="56">
      <x:c r="A56" s="130"/>
      <x:c r="B56" s="130"/>
      <x:c r="C56" s="130"/>
      <x:c r="D56" s="130"/>
      <x:c r="E56" s="130"/>
      <x:c r="F56" s="130"/>
      <x:c r="G56" s="130"/>
      <x:c r="H56" s="130"/>
      <x:c r="I56" s="130"/>
      <x:c r="J56" s="130"/>
      <x:c r="K56" s="130"/>
      <x:c r="L56" s="130"/>
      <x:c r="M56" s="130"/>
      <x:c r="N56" s="130"/>
      <x:c r="O56" s="130"/>
      <x:c r="P56" s="130"/>
      <x:c r="Q56" s="130"/>
      <x:c r="R56" s="130"/>
      <x:c r="S56" s="130"/>
      <x:c r="T56" s="130"/>
      <x:c r="U56" s="130"/>
      <x:c r="V56" s="130"/>
      <x:c r="W56" s="130"/>
      <x:c r="X56" s="130"/>
      <x:c r="Y56" s="130"/>
      <x:c r="Z56" s="130"/>
      <x:c r="AA56" s="130"/>
      <x:c r="AB56" s="130"/>
      <x:c r="AC56" s="130"/>
      <x:c r="AD56" s="130"/>
      <x:c r="AE56" s="130"/>
      <x:c r="AF56" s="130"/>
      <x:c r="AG56" s="130"/>
      <x:c r="AH56" s="130"/>
      <x:c r="AI56" s="130"/>
      <x:c r="AJ56" s="130"/>
      <x:c r="AK56" s="130"/>
      <x:c r="AL56" s="130"/>
      <x:c r="AM56" s="130"/>
      <x:c r="AN56" s="130"/>
      <x:c r="AO56" s="130"/>
      <x:c r="AP56" s="130"/>
      <x:c r="AQ56" s="130"/>
      <x:c r="AR56" s="130"/>
      <x:c r="AS56" s="130"/>
      <x:c r="AT56" s="130"/>
      <x:c r="AU56" s="130"/>
      <x:c r="AV56" s="130"/>
      <x:c r="AW56" s="130"/>
      <x:c r="AX56" s="130"/>
      <x:c r="AY56" s="130"/>
      <x:c r="AZ56" s="130"/>
    </x:row>
    <x:row r="57">
      <x:c r="A57" s="130"/>
      <x:c r="B57" s="130"/>
      <x:c r="C57" s="130"/>
      <x:c r="D57" s="130"/>
      <x:c r="E57" s="130"/>
      <x:c r="F57" s="130"/>
      <x:c r="G57" s="130"/>
      <x:c r="H57" s="130"/>
      <x:c r="I57" s="130"/>
      <x:c r="J57" s="130"/>
      <x:c r="K57" s="130"/>
      <x:c r="L57" s="130"/>
      <x:c r="M57" s="130"/>
      <x:c r="N57" s="130"/>
      <x:c r="O57" s="130"/>
      <x:c r="P57" s="130"/>
      <x:c r="Q57" s="130"/>
      <x:c r="R57" s="130"/>
      <x:c r="S57" s="130"/>
      <x:c r="T57" s="130"/>
      <x:c r="U57" s="130"/>
      <x:c r="V57" s="130"/>
      <x:c r="W57" s="130"/>
      <x:c r="X57" s="130"/>
      <x:c r="Y57" s="130"/>
      <x:c r="Z57" s="130"/>
      <x:c r="AA57" s="130"/>
      <x:c r="AB57" s="130"/>
      <x:c r="AC57" s="130"/>
      <x:c r="AD57" s="130"/>
      <x:c r="AE57" s="130"/>
      <x:c r="AF57" s="130"/>
      <x:c r="AG57" s="130"/>
      <x:c r="AH57" s="130"/>
      <x:c r="AI57" s="130"/>
      <x:c r="AJ57" s="130"/>
      <x:c r="AK57" s="130"/>
      <x:c r="AL57" s="130"/>
      <x:c r="AM57" s="130"/>
      <x:c r="AN57" s="130"/>
      <x:c r="AO57" s="130"/>
      <x:c r="AP57" s="130"/>
      <x:c r="AQ57" s="130"/>
      <x:c r="AR57" s="130"/>
      <x:c r="AS57" s="130"/>
      <x:c r="AT57" s="130"/>
      <x:c r="AU57" s="130"/>
      <x:c r="AV57" s="130"/>
      <x:c r="AW57" s="130"/>
      <x:c r="AX57" s="130"/>
      <x:c r="AY57" s="130"/>
      <x:c r="AZ57" s="130"/>
    </x:row>
    <x:row r="58">
      <x:c r="A58" s="130"/>
      <x:c r="B58" s="130"/>
      <x:c r="C58" s="130"/>
      <x:c r="D58" s="130"/>
      <x:c r="E58" s="130"/>
      <x:c r="F58" s="130"/>
      <x:c r="G58" s="130"/>
      <x:c r="H58" s="130"/>
      <x:c r="I58" s="130"/>
      <x:c r="J58" s="130"/>
      <x:c r="K58" s="130"/>
      <x:c r="L58" s="130"/>
      <x:c r="M58" s="130"/>
      <x:c r="N58" s="130"/>
      <x:c r="O58" s="130"/>
      <x:c r="P58" s="130"/>
      <x:c r="Q58" s="130"/>
      <x:c r="R58" s="130"/>
      <x:c r="S58" s="130"/>
      <x:c r="T58" s="130"/>
      <x:c r="U58" s="130"/>
      <x:c r="V58" s="130"/>
      <x:c r="W58" s="130"/>
      <x:c r="X58" s="130"/>
      <x:c r="Y58" s="130"/>
      <x:c r="Z58" s="130"/>
      <x:c r="AA58" s="130"/>
      <x:c r="AB58" s="130"/>
      <x:c r="AC58" s="130"/>
      <x:c r="AD58" s="130"/>
      <x:c r="AE58" s="130"/>
      <x:c r="AF58" s="130"/>
      <x:c r="AG58" s="130"/>
      <x:c r="AH58" s="130"/>
      <x:c r="AI58" s="130"/>
      <x:c r="AJ58" s="130"/>
      <x:c r="AK58" s="130"/>
      <x:c r="AL58" s="130"/>
      <x:c r="AM58" s="130"/>
      <x:c r="AN58" s="130"/>
      <x:c r="AO58" s="130"/>
      <x:c r="AP58" s="130"/>
      <x:c r="AQ58" s="130"/>
      <x:c r="AR58" s="130"/>
      <x:c r="AS58" s="130"/>
      <x:c r="AT58" s="130"/>
      <x:c r="AU58" s="130"/>
      <x:c r="AV58" s="130"/>
      <x:c r="AW58" s="130"/>
      <x:c r="AX58" s="130"/>
      <x:c r="AY58" s="130"/>
      <x:c r="AZ58" s="130"/>
    </x:row>
    <x:row r="59">
      <x:c r="A59" s="130"/>
      <x:c r="B59" s="130"/>
      <x:c r="C59" s="130"/>
      <x:c r="D59" s="130"/>
      <x:c r="E59" s="130"/>
      <x:c r="F59" s="130"/>
      <x:c r="G59" s="130"/>
      <x:c r="H59" s="130"/>
      <x:c r="I59" s="130"/>
      <x:c r="J59" s="130"/>
      <x:c r="K59" s="130"/>
      <x:c r="L59" s="130"/>
      <x:c r="M59" s="130"/>
      <x:c r="N59" s="130"/>
      <x:c r="O59" s="130"/>
      <x:c r="P59" s="130"/>
      <x:c r="Q59" s="130"/>
      <x:c r="R59" s="130"/>
      <x:c r="S59" s="130"/>
      <x:c r="T59" s="130"/>
      <x:c r="U59" s="130"/>
      <x:c r="V59" s="130"/>
      <x:c r="W59" s="130"/>
      <x:c r="X59" s="130"/>
      <x:c r="Y59" s="130"/>
      <x:c r="Z59" s="130"/>
      <x:c r="AA59" s="130"/>
      <x:c r="AB59" s="130"/>
      <x:c r="AC59" s="130"/>
      <x:c r="AD59" s="130"/>
      <x:c r="AE59" s="130"/>
      <x:c r="AF59" s="130"/>
      <x:c r="AG59" s="130"/>
      <x:c r="AH59" s="130"/>
      <x:c r="AI59" s="130"/>
      <x:c r="AJ59" s="130"/>
      <x:c r="AK59" s="130"/>
      <x:c r="AL59" s="130"/>
      <x:c r="AM59" s="130"/>
      <x:c r="AN59" s="130"/>
      <x:c r="AO59" s="130"/>
      <x:c r="AP59" s="130"/>
      <x:c r="AQ59" s="130"/>
      <x:c r="AR59" s="130"/>
      <x:c r="AS59" s="130"/>
      <x:c r="AT59" s="130"/>
      <x:c r="AU59" s="130"/>
      <x:c r="AV59" s="130"/>
      <x:c r="AW59" s="130"/>
      <x:c r="AX59" s="130"/>
      <x:c r="AY59" s="130"/>
      <x:c r="AZ59" s="130"/>
    </x:row>
    <x:row r="60">
      <x:c r="A60" s="130"/>
      <x:c r="B60" s="130"/>
      <x:c r="C60" s="130"/>
      <x:c r="D60" s="130"/>
      <x:c r="E60" s="130"/>
      <x:c r="F60" s="130"/>
      <x:c r="G60" s="130"/>
      <x:c r="H60" s="130"/>
      <x:c r="I60" s="130"/>
      <x:c r="J60" s="130"/>
      <x:c r="K60" s="130"/>
      <x:c r="L60" s="130"/>
      <x:c r="M60" s="130"/>
      <x:c r="N60" s="130"/>
      <x:c r="O60" s="130"/>
      <x:c r="P60" s="130"/>
      <x:c r="Q60" s="130"/>
      <x:c r="R60" s="130"/>
      <x:c r="S60" s="130"/>
      <x:c r="T60" s="130"/>
      <x:c r="U60" s="130"/>
      <x:c r="V60" s="130"/>
      <x:c r="W60" s="130"/>
      <x:c r="X60" s="130"/>
      <x:c r="Y60" s="130"/>
      <x:c r="Z60" s="130"/>
      <x:c r="AA60" s="130"/>
      <x:c r="AB60" s="130"/>
      <x:c r="AC60" s="130"/>
      <x:c r="AD60" s="130"/>
      <x:c r="AE60" s="130"/>
      <x:c r="AF60" s="130"/>
      <x:c r="AG60" s="130"/>
      <x:c r="AH60" s="130"/>
      <x:c r="AI60" s="130"/>
      <x:c r="AJ60" s="130"/>
      <x:c r="AK60" s="130"/>
      <x:c r="AL60" s="130"/>
      <x:c r="AM60" s="130"/>
      <x:c r="AN60" s="130"/>
      <x:c r="AO60" s="130"/>
      <x:c r="AP60" s="130"/>
      <x:c r="AQ60" s="130"/>
      <x:c r="AR60" s="130"/>
      <x:c r="AS60" s="130"/>
      <x:c r="AT60" s="130"/>
      <x:c r="AU60" s="130"/>
      <x:c r="AV60" s="130"/>
      <x:c r="AW60" s="130"/>
      <x:c r="AX60" s="130"/>
      <x:c r="AY60" s="130"/>
      <x:c r="AZ60" s="130"/>
    </x:row>
  </x:sheetData>
  <x:mergeCells>
    <x:mergeCell ref="A1:H2"/>
  </x:mergeCells>
  <x:pageMargins left="0.7" right="0.7" top="0.75" bottom="0.75" header="0.3" footer="0.3"/>
  <x:tableParts count="1">
    <x:tablePart xmlns:r="http://schemas.openxmlformats.org/officeDocument/2006/relationships" r:id="Ra9c59723a62d4ba5"/>
  </x:tableParts>
</x:worksheet>
</file>

<file path=xl/worksheets/sheet6.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 min="42" max="42" width="14" hidden="0" customWidth="1"/>
    <x:col min="43" max="43" width="14" hidden="0" customWidth="1"/>
    <x:col min="44" max="44" width="14" hidden="0" customWidth="1"/>
    <x:col min="45" max="45" width="38" hidden="0" customWidth="1"/>
    <x:col min="46" max="46" width="38" hidden="0" customWidth="1"/>
  </x:cols>
  <x:sheetData>
    <x:row r="1">
      <x:c r="A1" s="5" t="str">
        <x:v>Formula-driven calculation model: 4 site contexts × 4 strategies</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c r="AK1" s="5"/>
      <x:c r="AL1" s="5"/>
      <x:c r="AM1" s="5"/>
      <x:c r="AN1" s="5"/>
      <x:c r="AO1" s="5"/>
      <x:c r="AP1" s="5"/>
      <x:c r="AQ1" s="5"/>
      <x:c r="AR1" s="5"/>
      <x:c r="AS1" s="5"/>
      <x:c r="AT1" s="5"/>
      <x:c r="AU1" s="130"/>
      <x:c r="AV1" s="130"/>
      <x:c r="AW1" s="130"/>
      <x:c r="AX1" s="130"/>
      <x:c r="AY1" s="130"/>
      <x:c r="AZ1" s="130"/>
    </x:row>
    <x:row r="2">
      <x:c r="A2" s="5"/>
      <x:c r="B2" s="5"/>
      <x:c r="C2" s="5"/>
      <x:c r="D2" s="5"/>
      <x:c r="E2" s="5"/>
      <x:c r="F2" s="5"/>
      <x:c r="G2" s="5"/>
      <x:c r="H2" s="5"/>
      <x:c r="I2" s="5"/>
      <x:c r="J2" s="5"/>
      <x:c r="K2" s="5"/>
      <x:c r="L2" s="5"/>
      <x:c r="M2" s="5"/>
      <x:c r="N2" s="5"/>
      <x:c r="O2" s="5"/>
      <x:c r="P2" s="5"/>
      <x:c r="Q2" s="5"/>
      <x:c r="R2" s="5"/>
      <x:c r="S2" s="5"/>
      <x:c r="T2" s="5"/>
      <x:c r="U2" s="5"/>
      <x:c r="V2" s="5"/>
      <x:c r="W2" s="5"/>
      <x:c r="X2" s="5"/>
      <x:c r="Y2" s="5"/>
      <x:c r="Z2" s="5"/>
      <x:c r="AA2" s="5"/>
      <x:c r="AB2" s="5"/>
      <x:c r="AC2" s="5"/>
      <x:c r="AD2" s="5"/>
      <x:c r="AE2" s="5"/>
      <x:c r="AF2" s="5"/>
      <x:c r="AG2" s="5"/>
      <x:c r="AH2" s="5"/>
      <x:c r="AI2" s="5"/>
      <x:c r="AJ2" s="5"/>
      <x:c r="AK2" s="5"/>
      <x:c r="AL2" s="5"/>
      <x:c r="AM2" s="5"/>
      <x:c r="AN2" s="5"/>
      <x:c r="AO2" s="5"/>
      <x:c r="AP2" s="5"/>
      <x:c r="AQ2" s="5"/>
      <x:c r="AR2" s="5"/>
      <x:c r="AS2" s="5"/>
      <x:c r="AT2" s="5"/>
      <x:c r="AU2" s="130"/>
      <x:c r="AV2" s="130"/>
      <x:c r="AW2" s="130"/>
      <x:c r="AX2" s="130"/>
      <x:c r="AY2" s="130"/>
      <x:c r="AZ2" s="130"/>
    </x:row>
    <x:row r="3">
      <x:c r="A3" s="130"/>
      <x:c r="B3" s="130"/>
      <x:c r="C3" s="130"/>
      <x:c r="D3" s="130"/>
      <x:c r="E3" s="130"/>
      <x:c r="F3" s="130"/>
      <x:c r="G3" s="130"/>
      <x:c r="H3" s="130"/>
      <x:c r="I3" s="130"/>
      <x:c r="J3" s="130"/>
      <x:c r="K3" s="130"/>
      <x:c r="L3" s="130"/>
      <x:c r="M3" s="130"/>
      <x:c r="N3" s="130"/>
      <x:c r="O3" s="130"/>
      <x:c r="P3" s="130"/>
      <x:c r="Q3" s="130"/>
      <x:c r="R3" s="130"/>
      <x:c r="S3" s="130"/>
      <x:c r="T3" s="130"/>
      <x:c r="U3" s="130"/>
      <x:c r="V3" s="130"/>
      <x:c r="W3" s="130"/>
      <x:c r="X3" s="130"/>
      <x:c r="Y3" s="130"/>
      <x:c r="Z3" s="130"/>
      <x:c r="AA3" s="130"/>
      <x:c r="AB3" s="130"/>
      <x:c r="AC3" s="130"/>
      <x:c r="AD3" s="130"/>
      <x:c r="AE3" s="130"/>
      <x:c r="AF3" s="130"/>
      <x:c r="AG3" s="130"/>
      <x:c r="AH3" s="130"/>
      <x:c r="AI3" s="130"/>
      <x:c r="AJ3" s="130"/>
      <x:c r="AK3" s="130"/>
      <x:c r="AL3" s="130"/>
      <x:c r="AM3" s="130"/>
      <x:c r="AN3" s="130"/>
      <x:c r="AO3" s="130"/>
      <x:c r="AP3" s="130"/>
      <x:c r="AQ3" s="130"/>
      <x:c r="AR3" s="130"/>
      <x:c r="AS3" s="130"/>
      <x:c r="AT3" s="130"/>
      <x:c r="AU3" s="130"/>
      <x:c r="AV3" s="130"/>
      <x:c r="AW3" s="130"/>
      <x:c r="AX3" s="130"/>
      <x:c r="AY3" s="130"/>
      <x:c r="AZ3" s="130"/>
    </x:row>
    <x:row r="4">
      <x:c r="A4" s="32" t="str">
        <x:v>Context_ID</x:v>
      </x:c>
      <x:c r="B4" s="32" t="str">
        <x:v>Site_Context</x:v>
      </x:c>
      <x:c r="C4" s="32" t="str">
        <x:v>Strategy_ID</x:v>
      </x:c>
      <x:c r="D4" s="32" t="str">
        <x:v>Strategy</x:v>
      </x:c>
      <x:c r="E4" s="32" t="str">
        <x:v>Working_Days</x:v>
      </x:c>
      <x:c r="F4" s="32" t="str">
        <x:v>Shift_Hours</x:v>
      </x:c>
      <x:c r="G4" s="32" t="str">
        <x:v>Idle_Percent</x:v>
      </x:c>
      <x:c r="H4" s="32" t="str">
        <x:v>Temporary_Power_kWh_per_day</x:v>
      </x:c>
      <x:c r="I4" s="32" t="str">
        <x:v>Grid_Availability</x:v>
      </x:c>
      <x:c r="J4" s="32" t="str">
        <x:v>Grid_Carbon_kgCO2e_per_kWh</x:v>
      </x:c>
      <x:c r="K4" s="32" t="str">
        <x:v>Diesel_Price_GBP_per_L</x:v>
      </x:c>
      <x:c r="L4" s="32" t="str">
        <x:v>Electricity_Price_GBP_per_kWh</x:v>
      </x:c>
      <x:c r="M4" s="32" t="str">
        <x:v>Noise_Sensitivity</x:v>
      </x:c>
      <x:c r="N4" s="32" t="str">
        <x:v>Community_Sensitivity</x:v>
      </x:c>
      <x:c r="O4" s="32" t="str">
        <x:v>Plant_Diesel_L_per_active_h</x:v>
      </x:c>
      <x:c r="P4" s="32" t="str">
        <x:v>Plant_Electricity_kWh_per_active_h</x:v>
      </x:c>
      <x:c r="Q4" s="32" t="str">
        <x:v>Idle_Energy_Fraction</x:v>
      </x:c>
      <x:c r="R4" s="32" t="str">
        <x:v>Generator_Diesel_L_per_kWh</x:v>
      </x:c>
      <x:c r="S4" s="32" t="str">
        <x:v>Charging_Loss_Percent</x:v>
      </x:c>
      <x:c r="T4" s="32" t="str">
        <x:v>Smart_Grid_CI_Multiplier</x:v>
      </x:c>
      <x:c r="U4" s="32" t="str">
        <x:v>Battery_Storage_Loss_Percent</x:v>
      </x:c>
      <x:c r="V4" s="32" t="str">
        <x:v>Plant_Hire_GBP_per_day</x:v>
      </x:c>
      <x:c r="W4" s="32" t="str">
        <x:v>Power_System_GBP_per_day</x:v>
      </x:c>
      <x:c r="X4" s="32" t="str">
        <x:v>Productivity_Index</x:v>
      </x:c>
      <x:c r="Y4" s="32" t="str">
        <x:v>Expected_Downtime_h_per_day</x:v>
      </x:c>
      <x:c r="Z4" s="32" t="str">
        <x:v>Exhaust_NOx_Index</x:v>
      </x:c>
      <x:c r="AA4" s="32" t="str">
        <x:v>Exhaust_PM_Index</x:v>
      </x:c>
      <x:c r="AB4" s="32" t="str">
        <x:v>Noise_Index</x:v>
      </x:c>
      <x:c r="AC4" s="32" t="str">
        <x:v>Active_Hours_Total</x:v>
      </x:c>
      <x:c r="AD4" s="32" t="str">
        <x:v>Idle_Hours_Total</x:v>
      </x:c>
      <x:c r="AE4" s="32" t="str">
        <x:v>Plant_Diesel_L</x:v>
      </x:c>
      <x:c r="AF4" s="32" t="str">
        <x:v>Temporary_Power_Diesel_L</x:v>
      </x:c>
      <x:c r="AG4" s="32" t="str">
        <x:v>Grid_Electricity_kWh</x:v>
      </x:c>
      <x:c r="AH4" s="32" t="str">
        <x:v>Effective_Grid_Carbon_kgCO2e_per_kWh</x:v>
      </x:c>
      <x:c r="AI4" s="32" t="str">
        <x:v>Operational_CO2e_kg</x:v>
      </x:c>
      <x:c r="AJ4" s="32" t="str">
        <x:v>Expanded_Energy_CO2e_kg</x:v>
      </x:c>
      <x:c r="AK4" s="32" t="str">
        <x:v>Energy_Cost_GBP</x:v>
      </x:c>
      <x:c r="AL4" s="32" t="str">
        <x:v>Hire_and_Power_Cost_GBP</x:v>
      </x:c>
      <x:c r="AM4" s="32" t="str">
        <x:v>Total_Cost_GBP</x:v>
      </x:c>
      <x:c r="AN4" s="32" t="str">
        <x:v>Carbon_Reduction_vs_Baseline</x:v>
      </x:c>
      <x:c r="AO4" s="32" t="str">
        <x:v>Daily_Plant_Electricity_kWh</x:v>
      </x:c>
      <x:c r="AP4" s="32" t="str">
        <x:v>Battery_Charges_per_Day</x:v>
      </x:c>
      <x:c r="AQ4" s="32" t="str">
        <x:v>Air_Quality_Benefit_Index</x:v>
      </x:c>
      <x:c r="AR4" s="32" t="str">
        <x:v>Noise_Benefit_Index</x:v>
      </x:c>
      <x:c r="AS4" s="32" t="str">
        <x:v>Data_Quality_Note</x:v>
      </x:c>
      <x:c r="AT4" s="32" t="str">
        <x:v>Scenario_Note</x:v>
      </x:c>
      <x:c r="AU4" s="130"/>
      <x:c r="AV4" s="130"/>
      <x:c r="AW4" s="130"/>
      <x:c r="AX4" s="130"/>
      <x:c r="AY4" s="130"/>
      <x:c r="AZ4" s="130"/>
    </x:row>
    <x:row r="5">
      <x:c r="A5" s="134" t="str">
        <x:v>C1</x:v>
      </x:c>
      <x:c r="B5" s="134" t="str">
        <x:v>Urban site near a school</x:v>
      </x:c>
      <x:c r="C5" s="134" t="str">
        <x:v>S1</x:v>
      </x:c>
      <x:c r="D5" s="134" t="str">
        <x:v>Conventional diesel plant + diesel generator</x:v>
      </x:c>
      <x:c r="E5" s="134" t="n">
        <x:v>30</x:v>
      </x:c>
      <x:c r="F5" s="134" t="n">
        <x:v>7</x:v>
      </x:c>
      <x:c r="G5" s="142" t="n">
        <x:v>0.2</x:v>
      </x:c>
      <x:c r="H5" s="134" t="n">
        <x:v>20</x:v>
      </x:c>
      <x:c r="I5" s="134" t="str">
        <x:v>Available</x:v>
      </x:c>
      <x:c r="J5" s="152" t="n">
        <x:v>0.13096</x:v>
      </x:c>
      <x:c r="K5" s="144" t="n">
        <x:v>1.55</x:v>
      </x:c>
      <x:c r="L5" s="144" t="n">
        <x:v>0.25</x:v>
      </x:c>
      <x:c r="M5" s="134" t="str">
        <x:v>High</x:v>
      </x:c>
      <x:c r="N5" s="134" t="str">
        <x:v>High</x:v>
      </x:c>
      <x:c r="O5" s="134" t="n">
        <x:v>3.2</x:v>
      </x:c>
      <x:c r="P5" s="134" t="n">
        <x:v>0</x:v>
      </x:c>
      <x:c r="Q5" s="134" t="n">
        <x:v>0.35</x:v>
      </x:c>
      <x:c r="R5" s="134" t="n">
        <x:v>0.3</x:v>
      </x:c>
      <x:c r="S5" s="142" t="n">
        <x:v>0</x:v>
      </x:c>
      <x:c r="T5" s="142" t="n">
        <x:v>1</x:v>
      </x:c>
      <x:c r="U5" s="142" t="n">
        <x:v>0</x:v>
      </x:c>
      <x:c r="V5" s="150" t="n">
        <x:v>180</x:v>
      </x:c>
      <x:c r="W5" s="150" t="n">
        <x:v>60</x:v>
      </x:c>
      <x:c r="X5" s="134" t="n">
        <x:v>100</x:v>
      </x:c>
      <x:c r="Y5" s="134" t="n">
        <x:v>0.1</x:v>
      </x:c>
      <x:c r="Z5" s="134" t="n">
        <x:v>100</x:v>
      </x:c>
      <x:c r="AA5" s="134" t="n">
        <x:v>100</x:v>
      </x:c>
      <x:c r="AB5" s="134" t="n">
        <x:v>100</x:v>
      </x:c>
      <x:c r="AC5" s="153" t="n">
        <x:f>E5*F5*(1-G5)</x:f>
        <x:v>168</x:v>
      </x:c>
      <x:c r="AD5" s="153" t="n">
        <x:f>E5*F5*G5</x:f>
        <x:v>42</x:v>
      </x:c>
      <x:c r="AE5" s="153" t="n">
        <x:f>AC5*O5+AD5*O5*Q5</x:f>
        <x:v>584.64</x:v>
      </x:c>
      <x:c r="AF5" s="153" t="n">
        <x:f>E5*H5*R5</x:f>
        <x:v>180</x:v>
      </x:c>
      <x:c r="AG5" s="153" t="n">
        <x:f>((AC5*P5)+(AD5*P5*Q5))*(1+S5)*(1+U5)+IF(R5=0,E5*H5*(1+U5),0)</x:f>
        <x:v>0</x:v>
      </x:c>
      <x:c r="AH5" s="153" t="n">
        <x:f>J5*T5</x:f>
        <x:v>0.13096</x:v>
      </x:c>
      <x:c r="AI5" s="153" t="n">
        <x:f>(AE5+AF5)*Emission_Factors!$C$5+AG5*AH5</x:f>
        <x:v>1975.4780256000001</x:v>
      </x:c>
      <x:c r="AJ5" s="153" t="n">
        <x:f>(AE5+AF5)*(Emission_Factors!$C$5+Emission_Factors!$C$6)+AG5*(AH5+Emission_Factors!$C$8+Emission_Factors!$C$9)</x:f>
        <x:v>2442.6807120000003</x:v>
      </x:c>
      <x:c r="AK5" s="153" t="n">
        <x:f>(AE5+AF5)*K5+AG5*L5</x:f>
        <x:v>1185.192</x:v>
      </x:c>
      <x:c r="AL5" s="153" t="n">
        <x:f>E5*(V5+W5)</x:f>
        <x:v>7200</x:v>
      </x:c>
      <x:c r="AM5" s="153" t="n">
        <x:f>AK5+AL5</x:f>
        <x:v>8385.192</x:v>
      </x:c>
      <x:c r="AN5" s="154" t="n">
        <x:f>1-AI5/SUMIFS($AI$5:$AI$20,$A$5:$A$20,A5,$C$5:$C$20,"S1")</x:f>
        <x:v>0</x:v>
      </x:c>
      <x:c r="AO5" s="153" t="n">
        <x:f>F5*((1-G5)*P5+G5*P5*Q5)*(1+S5)*(1+U5)</x:f>
        <x:v>0</x:v>
      </x:c>
      <x:c r="AP5" s="153" t="n">
        <x:f>IF(P5=0,0,MAX(0,ROUNDUP(AO5/Plant_Specs!$C$5,0)-1))</x:f>
        <x:v>0</x:v>
      </x:c>
      <x:c r="AQ5" s="135" t="n">
        <x:f>100-AVERAGE(Z5,AA5)</x:f>
        <x:v>0</x:v>
      </x:c>
      <x:c r="AR5" s="135" t="n">
        <x:f>100-AB5</x:f>
        <x:v>0</x:v>
      </x:c>
      <x:c r="AS5" s="145" t="str">
        <x:v>Teaching assumptions; official carbon factors applied</x:v>
      </x:c>
      <x:c r="AT5" s="145" t="str">
        <x:v>Urban site with strong air-quality and noise concerns; suitable grid connection. | Represents a traditional site-energy arrangement.</x:v>
      </x:c>
      <x:c r="AU5" s="130"/>
      <x:c r="AV5" s="130"/>
      <x:c r="AW5" s="130"/>
      <x:c r="AX5" s="130"/>
      <x:c r="AY5" s="130"/>
      <x:c r="AZ5" s="130"/>
    </x:row>
    <x:row r="6">
      <x:c r="A6" s="134" t="str">
        <x:v>C1</x:v>
      </x:c>
      <x:c r="B6" s="134" t="str">
        <x:v>Urban site near a school</x:v>
      </x:c>
      <x:c r="C6" s="134" t="str">
        <x:v>S2</x:v>
      </x:c>
      <x:c r="D6" s="134" t="str">
        <x:v>Stage V diesel + anti-idling + right-sized generator</x:v>
      </x:c>
      <x:c r="E6" s="134" t="n">
        <x:v>30</x:v>
      </x:c>
      <x:c r="F6" s="134" t="n">
        <x:v>7</x:v>
      </x:c>
      <x:c r="G6" s="142" t="n">
        <x:v>0.2</x:v>
      </x:c>
      <x:c r="H6" s="134" t="n">
        <x:v>20</x:v>
      </x:c>
      <x:c r="I6" s="134" t="str">
        <x:v>Available</x:v>
      </x:c>
      <x:c r="J6" s="152" t="n">
        <x:v>0.13096</x:v>
      </x:c>
      <x:c r="K6" s="144" t="n">
        <x:v>1.55</x:v>
      </x:c>
      <x:c r="L6" s="144" t="n">
        <x:v>0.25</x:v>
      </x:c>
      <x:c r="M6" s="134" t="str">
        <x:v>High</x:v>
      </x:c>
      <x:c r="N6" s="134" t="str">
        <x:v>High</x:v>
      </x:c>
      <x:c r="O6" s="134" t="n">
        <x:v>2.8</x:v>
      </x:c>
      <x:c r="P6" s="134" t="n">
        <x:v>0</x:v>
      </x:c>
      <x:c r="Q6" s="134" t="n">
        <x:v>0.15</x:v>
      </x:c>
      <x:c r="R6" s="134" t="n">
        <x:v>0.24</x:v>
      </x:c>
      <x:c r="S6" s="142" t="n">
        <x:v>0</x:v>
      </x:c>
      <x:c r="T6" s="142" t="n">
        <x:v>1</x:v>
      </x:c>
      <x:c r="U6" s="142" t="n">
        <x:v>0</x:v>
      </x:c>
      <x:c r="V6" s="150" t="n">
        <x:v>200</x:v>
      </x:c>
      <x:c r="W6" s="150" t="n">
        <x:v>55</x:v>
      </x:c>
      <x:c r="X6" s="134" t="n">
        <x:v>100</x:v>
      </x:c>
      <x:c r="Y6" s="134" t="n">
        <x:v>0.1</x:v>
      </x:c>
      <x:c r="Z6" s="134" t="n">
        <x:v>35</x:v>
      </x:c>
      <x:c r="AA6" s="134" t="n">
        <x:v>25</x:v>
      </x:c>
      <x:c r="AB6" s="134" t="n">
        <x:v>95</x:v>
      </x:c>
      <x:c r="AC6" s="153" t="n">
        <x:f>E6*F6*(1-G6)</x:f>
        <x:v>168</x:v>
      </x:c>
      <x:c r="AD6" s="153" t="n">
        <x:f>E6*F6*G6</x:f>
        <x:v>42</x:v>
      </x:c>
      <x:c r="AE6" s="153" t="n">
        <x:f>AC6*O6+AD6*O6*Q6</x:f>
        <x:v>488.03999999999996</x:v>
      </x:c>
      <x:c r="AF6" s="153" t="n">
        <x:f>E6*H6*R6</x:f>
        <x:v>144</x:v>
      </x:c>
      <x:c r="AG6" s="153" t="n">
        <x:f>((AC6*P6)+(AD6*P6*Q6))*(1+S6)*(1+U6)+IF(R6=0,E6*H6*(1+U6),0)</x:f>
        <x:v>0</x:v>
      </x:c>
      <x:c r="AH6" s="153" t="n">
        <x:f>J6*T6</x:f>
        <x:v>0.13096</x:v>
      </x:c>
      <x:c r="AI6" s="153" t="n">
        <x:f>(AE6+AF6)*Emission_Factors!$C$5+AG6*AH6</x:f>
        <x:v>1632.9006216</x:v>
      </x:c>
      <x:c r="AJ6" s="153" t="n">
        <x:f>(AE6+AF6)*(Emission_Factors!$C$5+Emission_Factors!$C$6)+AG6*(AH6+Emission_Factors!$C$8+Emission_Factors!$C$9)</x:f>
        <x:v>2019.0833820000003</x:v>
      </x:c>
      <x:c r="AK6" s="153" t="n">
        <x:f>(AE6+AF6)*K6+AG6*L6</x:f>
        <x:v>979.6619999999999</x:v>
      </x:c>
      <x:c r="AL6" s="153" t="n">
        <x:f>E6*(V6+W6)</x:f>
        <x:v>7650</x:v>
      </x:c>
      <x:c r="AM6" s="153" t="n">
        <x:f>AK6+AL6</x:f>
        <x:v>8629.662</x:v>
      </x:c>
      <x:c r="AN6" s="154" t="n">
        <x:f>1-AI6/SUMIFS($AI$5:$AI$20,$A$5:$A$20,A6,$C$5:$C$20,"S1")</x:f>
        <x:v>0.173414940364093</x:v>
      </x:c>
      <x:c r="AO6" s="153" t="n">
        <x:f>F6*((1-G6)*P6+G6*P6*Q6)*(1+S6)*(1+U6)</x:f>
        <x:v>0</x:v>
      </x:c>
      <x:c r="AP6" s="153" t="n">
        <x:f>IF(P6=0,0,MAX(0,ROUNDUP(AO6/Plant_Specs!$C$5,0)-1))</x:f>
        <x:v>0</x:v>
      </x:c>
      <x:c r="AQ6" s="135" t="n">
        <x:f>100-AVERAGE(Z6,AA6)</x:f>
        <x:v>70</x:v>
      </x:c>
      <x:c r="AR6" s="135" t="n">
        <x:f>100-AB6</x:f>
        <x:v>5</x:v>
      </x:c>
      <x:c r="AS6" s="145" t="str">
        <x:v>Teaching assumptions; official carbon factors applied</x:v>
      </x:c>
      <x:c r="AT6" s="145" t="str">
        <x:v>Urban site with strong air-quality and noise concerns; suitable grid connection. | Tests efficiency before full electrification.</x:v>
      </x:c>
      <x:c r="AU6" s="130"/>
      <x:c r="AV6" s="130"/>
      <x:c r="AW6" s="130"/>
      <x:c r="AX6" s="130"/>
      <x:c r="AY6" s="130"/>
      <x:c r="AZ6" s="130"/>
    </x:row>
    <x:row r="7">
      <x:c r="A7" s="134" t="str">
        <x:v>C1</x:v>
      </x:c>
      <x:c r="B7" s="134" t="str">
        <x:v>Urban site near a school</x:v>
      </x:c>
      <x:c r="C7" s="134" t="str">
        <x:v>S3</x:v>
      </x:c>
      <x:c r="D7" s="134" t="str">
        <x:v>Grid-connected electric plant</x:v>
      </x:c>
      <x:c r="E7" s="134" t="n">
        <x:v>30</x:v>
      </x:c>
      <x:c r="F7" s="134" t="n">
        <x:v>7</x:v>
      </x:c>
      <x:c r="G7" s="142" t="n">
        <x:v>0.2</x:v>
      </x:c>
      <x:c r="H7" s="134" t="n">
        <x:v>20</x:v>
      </x:c>
      <x:c r="I7" s="134" t="str">
        <x:v>Available</x:v>
      </x:c>
      <x:c r="J7" s="152" t="n">
        <x:v>0.13096</x:v>
      </x:c>
      <x:c r="K7" s="144" t="n">
        <x:v>1.55</x:v>
      </x:c>
      <x:c r="L7" s="144" t="n">
        <x:v>0.25</x:v>
      </x:c>
      <x:c r="M7" s="134" t="str">
        <x:v>High</x:v>
      </x:c>
      <x:c r="N7" s="134" t="str">
        <x:v>High</x:v>
      </x:c>
      <x:c r="O7" s="134" t="n">
        <x:v>0</x:v>
      </x:c>
      <x:c r="P7" s="134" t="n">
        <x:v>3.33</x:v>
      </x:c>
      <x:c r="Q7" s="134" t="n">
        <x:v>0.05</x:v>
      </x:c>
      <x:c r="R7" s="134" t="n">
        <x:v>0</x:v>
      </x:c>
      <x:c r="S7" s="142" t="n">
        <x:v>0.1</x:v>
      </x:c>
      <x:c r="T7" s="142" t="n">
        <x:v>1</x:v>
      </x:c>
      <x:c r="U7" s="142" t="n">
        <x:v>0</x:v>
      </x:c>
      <x:c r="V7" s="150" t="n">
        <x:v>260</x:v>
      </x:c>
      <x:c r="W7" s="150" t="n">
        <x:v>30</x:v>
      </x:c>
      <x:c r="X7" s="134" t="n">
        <x:v>97</x:v>
      </x:c>
      <x:c r="Y7" s="134" t="n">
        <x:v>0.5</x:v>
      </x:c>
      <x:c r="Z7" s="134" t="n">
        <x:v>0</x:v>
      </x:c>
      <x:c r="AA7" s="134" t="n">
        <x:v>0</x:v>
      </x:c>
      <x:c r="AB7" s="134" t="n">
        <x:v>55</x:v>
      </x:c>
      <x:c r="AC7" s="153" t="n">
        <x:f>E7*F7*(1-G7)</x:f>
        <x:v>168</x:v>
      </x:c>
      <x:c r="AD7" s="153" t="n">
        <x:f>E7*F7*G7</x:f>
        <x:v>42</x:v>
      </x:c>
      <x:c r="AE7" s="153" t="n">
        <x:f>AC7*O7+AD7*O7*Q7</x:f>
        <x:v>0</x:v>
      </x:c>
      <x:c r="AF7" s="153" t="n">
        <x:f>E7*H7*R7</x:f>
        <x:v>0</x:v>
      </x:c>
      <x:c r="AG7" s="153" t="n">
        <x:f>((AC7*P7)+(AD7*P7*Q7))*(1+S7)*(1+U7)+IF(R7=0,E7*H7*(1+U7),0)</x:f>
        <x:v>1223.0763000000002</x:v>
      </x:c>
      <x:c r="AH7" s="153" t="n">
        <x:f>J7*T7</x:f>
        <x:v>0.13096</x:v>
      </x:c>
      <x:c r="AI7" s="153" t="n">
        <x:f>(AE7+AF7)*Emission_Factors!$C$5+AG7*AH7</x:f>
        <x:v>160.17407224800002</x:v>
      </x:c>
      <x:c r="AJ7" s="153" t="n">
        <x:f>(AE7+AF7)*(Emission_Factors!$C$5+Emission_Factors!$C$6)+AG7*(AH7+Emission_Factors!$C$8+Emission_Factors!$C$9)</x:f>
        <x:v>221.09550275100003</x:v>
      </x:c>
      <x:c r="AK7" s="153" t="n">
        <x:f>(AE7+AF7)*K7+AG7*L7</x:f>
        <x:v>305.76907500000004</x:v>
      </x:c>
      <x:c r="AL7" s="153" t="n">
        <x:f>E7*(V7+W7)</x:f>
        <x:v>8700</x:v>
      </x:c>
      <x:c r="AM7" s="153" t="n">
        <x:f>AK7+AL7</x:f>
        <x:v>9005.769075</x:v>
      </x:c>
      <x:c r="AN7" s="154" t="n">
        <x:f>1-AI7/SUMIFS($AI$5:$AI$20,$A$5:$A$20,A7,$C$5:$C$20,"S1")</x:f>
        <x:v>0.9189188286721887</x:v>
      </x:c>
      <x:c r="AO7" s="153" t="n">
        <x:f>F7*((1-G7)*P7+G7*P7*Q7)*(1+S7)*(1+U7)</x:f>
        <x:v>20.769210000000005</x:v>
      </x:c>
      <x:c r="AP7" s="153" t="n">
        <x:f>IF(P7=0,0,MAX(0,ROUNDUP(AO7/Plant_Specs!$C$5,0)-1))</x:f>
        <x:v>1</x:v>
      </x:c>
      <x:c r="AQ7" s="135" t="n">
        <x:f>100-AVERAGE(Z7,AA7)</x:f>
        <x:v>100</x:v>
      </x:c>
      <x:c r="AR7" s="135" t="n">
        <x:f>100-AB7</x:f>
        <x:v>45</x:v>
      </x:c>
      <x:c r="AS7" s="145" t="str">
        <x:v>Manufacturer-informed electricity use; teaching cost assumptions</x:v>
      </x:c>
      <x:c r="AT7" s="145" t="str">
        <x:v>Urban site with strong air-quality and noise concerns; suitable grid connection. | Uses a 20 kWh battery and an indicative six-hour runtime.</x:v>
      </x:c>
      <x:c r="AU7" s="130"/>
      <x:c r="AV7" s="130"/>
      <x:c r="AW7" s="130"/>
      <x:c r="AX7" s="130"/>
      <x:c r="AY7" s="130"/>
      <x:c r="AZ7" s="130"/>
    </x:row>
    <x:row r="8">
      <x:c r="A8" s="134" t="str">
        <x:v>C1</x:v>
      </x:c>
      <x:c r="B8" s="134" t="str">
        <x:v>Urban site near a school</x:v>
      </x:c>
      <x:c r="C8" s="134" t="str">
        <x:v>S4</x:v>
      </x:c>
      <x:c r="D8" s="134" t="str">
        <x:v>Electric plant + battery storage + smart charging</x:v>
      </x:c>
      <x:c r="E8" s="134" t="n">
        <x:v>30</x:v>
      </x:c>
      <x:c r="F8" s="134" t="n">
        <x:v>7</x:v>
      </x:c>
      <x:c r="G8" s="142" t="n">
        <x:v>0.2</x:v>
      </x:c>
      <x:c r="H8" s="134" t="n">
        <x:v>20</x:v>
      </x:c>
      <x:c r="I8" s="134" t="str">
        <x:v>Available</x:v>
      </x:c>
      <x:c r="J8" s="152" t="n">
        <x:v>0.13096</x:v>
      </x:c>
      <x:c r="K8" s="144" t="n">
        <x:v>1.55</x:v>
      </x:c>
      <x:c r="L8" s="144" t="n">
        <x:v>0.25</x:v>
      </x:c>
      <x:c r="M8" s="134" t="str">
        <x:v>High</x:v>
      </x:c>
      <x:c r="N8" s="134" t="str">
        <x:v>High</x:v>
      </x:c>
      <x:c r="O8" s="134" t="n">
        <x:v>0</x:v>
      </x:c>
      <x:c r="P8" s="134" t="n">
        <x:v>3.33</x:v>
      </x:c>
      <x:c r="Q8" s="134" t="n">
        <x:v>0.05</x:v>
      </x:c>
      <x:c r="R8" s="134" t="n">
        <x:v>0</x:v>
      </x:c>
      <x:c r="S8" s="142" t="n">
        <x:v>0.1</x:v>
      </x:c>
      <x:c r="T8" s="142" t="n">
        <x:v>0.65</x:v>
      </x:c>
      <x:c r="U8" s="142" t="n">
        <x:v>0.12</x:v>
      </x:c>
      <x:c r="V8" s="150" t="n">
        <x:v>260</x:v>
      </x:c>
      <x:c r="W8" s="150" t="n">
        <x:v>80</x:v>
      </x:c>
      <x:c r="X8" s="134" t="n">
        <x:v>99</x:v>
      </x:c>
      <x:c r="Y8" s="134" t="n">
        <x:v>0.2</x:v>
      </x:c>
      <x:c r="Z8" s="134" t="n">
        <x:v>0</x:v>
      </x:c>
      <x:c r="AA8" s="134" t="n">
        <x:v>0</x:v>
      </x:c>
      <x:c r="AB8" s="134" t="n">
        <x:v>50</x:v>
      </x:c>
      <x:c r="AC8" s="153" t="n">
        <x:f>E8*F8*(1-G8)</x:f>
        <x:v>168</x:v>
      </x:c>
      <x:c r="AD8" s="153" t="n">
        <x:f>E8*F8*G8</x:f>
        <x:v>42</x:v>
      </x:c>
      <x:c r="AE8" s="153" t="n">
        <x:f>AC8*O8+AD8*O8*Q8</x:f>
        <x:v>0</x:v>
      </x:c>
      <x:c r="AF8" s="153" t="n">
        <x:f>E8*H8*R8</x:f>
        <x:v>0</x:v>
      </x:c>
      <x:c r="AG8" s="153" t="n">
        <x:f>((AC8*P8)+(AD8*P8*Q8))*(1+S8)*(1+U8)+IF(R8=0,E8*H8*(1+U8),0)</x:f>
        <x:v>1369.8454560000005</x:v>
      </x:c>
      <x:c r="AH8" s="153" t="n">
        <x:f>J8*T8</x:f>
        <x:v>0.085124</x:v>
      </x:c>
      <x:c r="AI8" s="153" t="n">
        <x:f>(AE8+AF8)*Emission_Factors!$C$5+AG8*AH8</x:f>
        <x:v>116.60672459654404</x:v>
      </x:c>
      <x:c r="AJ8" s="153" t="n">
        <x:f>(AE8+AF8)*(Emission_Factors!$C$5+Emission_Factors!$C$6)+AG8*(AH8+Emission_Factors!$C$8+Emission_Factors!$C$9)</x:f>
        <x:v>184.83872675990406</x:v>
      </x:c>
      <x:c r="AK8" s="153" t="n">
        <x:f>(AE8+AF8)*K8+AG8*L8</x:f>
        <x:v>342.4613640000001</x:v>
      </x:c>
      <x:c r="AL8" s="153" t="n">
        <x:f>E8*(V8+W8)</x:f>
        <x:v>10200</x:v>
      </x:c>
      <x:c r="AM8" s="153" t="n">
        <x:f>AK8+AL8</x:f>
        <x:v>10542.461364</x:v>
      </x:c>
      <x:c r="AN8" s="154" t="n">
        <x:f>1-AI8/SUMIFS($AI$5:$AI$20,$A$5:$A$20,A8,$C$5:$C$20,"S1")</x:f>
        <x:v>0.9409729072733534</x:v>
      </x:c>
      <x:c r="AO8" s="153" t="n">
        <x:f>F8*((1-G8)*P8+G8*P8*Q8)*(1+S8)*(1+U8)</x:f>
        <x:v>23.26151520000001</x:v>
      </x:c>
      <x:c r="AP8" s="153" t="n">
        <x:f>IF(P8=0,0,MAX(0,ROUNDUP(AO8/Plant_Specs!$C$5,0)-1))</x:f>
        <x:v>1</x:v>
      </x:c>
      <x:c r="AQ8" s="135" t="n">
        <x:f>100-AVERAGE(Z8,AA8)</x:f>
        <x:v>100</x:v>
      </x:c>
      <x:c r="AR8" s="135" t="n">
        <x:f>100-AB8</x:f>
        <x:v>50</x:v>
      </x:c>
      <x:c r="AS8" s="145" t="str">
        <x:v>Manufacturer-informed electricity use; smart charging is a teaching assumption</x:v>
      </x:c>
      <x:c r="AT8" s="145" t="str">
        <x:v>Urban site with strong air-quality and noise concerns; suitable grid connection. | Time-shifts charging and adds temporary battery storage.</x:v>
      </x:c>
      <x:c r="AU8" s="130"/>
      <x:c r="AV8" s="130"/>
      <x:c r="AW8" s="130"/>
      <x:c r="AX8" s="130"/>
      <x:c r="AY8" s="130"/>
      <x:c r="AZ8" s="130"/>
    </x:row>
    <x:row r="9">
      <x:c r="A9" s="134" t="str">
        <x:v>C2</x:v>
      </x:c>
      <x:c r="B9" s="134" t="str">
        <x:v>Remote infrastructure site</x:v>
      </x:c>
      <x:c r="C9" s="134" t="str">
        <x:v>S1</x:v>
      </x:c>
      <x:c r="D9" s="134" t="str">
        <x:v>Conventional diesel plant + diesel generator</x:v>
      </x:c>
      <x:c r="E9" s="134" t="n">
        <x:v>45</x:v>
      </x:c>
      <x:c r="F9" s="134" t="n">
        <x:v>8</x:v>
      </x:c>
      <x:c r="G9" s="142" t="n">
        <x:v>0.15</x:v>
      </x:c>
      <x:c r="H9" s="134" t="n">
        <x:v>25</x:v>
      </x:c>
      <x:c r="I9" s="134" t="str">
        <x:v>Limited</x:v>
      </x:c>
      <x:c r="J9" s="152" t="n">
        <x:v>0.13096</x:v>
      </x:c>
      <x:c r="K9" s="144" t="n">
        <x:v>1.55</x:v>
      </x:c>
      <x:c r="L9" s="144" t="n">
        <x:v>0.3</x:v>
      </x:c>
      <x:c r="M9" s="134" t="str">
        <x:v>Low</x:v>
      </x:c>
      <x:c r="N9" s="134" t="str">
        <x:v>Low</x:v>
      </x:c>
      <x:c r="O9" s="134" t="n">
        <x:v>3.2</x:v>
      </x:c>
      <x:c r="P9" s="134" t="n">
        <x:v>0</x:v>
      </x:c>
      <x:c r="Q9" s="134" t="n">
        <x:v>0.35</x:v>
      </x:c>
      <x:c r="R9" s="134" t="n">
        <x:v>0.3</x:v>
      </x:c>
      <x:c r="S9" s="142" t="n">
        <x:v>0</x:v>
      </x:c>
      <x:c r="T9" s="142" t="n">
        <x:v>1</x:v>
      </x:c>
      <x:c r="U9" s="142" t="n">
        <x:v>0</x:v>
      </x:c>
      <x:c r="V9" s="150" t="n">
        <x:v>180</x:v>
      </x:c>
      <x:c r="W9" s="150" t="n">
        <x:v>60</x:v>
      </x:c>
      <x:c r="X9" s="134" t="n">
        <x:v>100</x:v>
      </x:c>
      <x:c r="Y9" s="134" t="n">
        <x:v>0.1</x:v>
      </x:c>
      <x:c r="Z9" s="134" t="n">
        <x:v>100</x:v>
      </x:c>
      <x:c r="AA9" s="134" t="n">
        <x:v>100</x:v>
      </x:c>
      <x:c r="AB9" s="134" t="n">
        <x:v>100</x:v>
      </x:c>
      <x:c r="AC9" s="153" t="n">
        <x:f>E9*F9*(1-G9)</x:f>
        <x:v>306</x:v>
      </x:c>
      <x:c r="AD9" s="153" t="n">
        <x:f>E9*F9*G9</x:f>
        <x:v>54</x:v>
      </x:c>
      <x:c r="AE9" s="153" t="n">
        <x:f>AC9*O9+AD9*O9*Q9</x:f>
        <x:v>1039.68</x:v>
      </x:c>
      <x:c r="AF9" s="153" t="n">
        <x:f>E9*H9*R9</x:f>
        <x:v>337.5</x:v>
      </x:c>
      <x:c r="AG9" s="153" t="n">
        <x:f>((AC9*P9)+(AD9*P9*Q9))*(1+S9)*(1+U9)+IF(R9=0,E9*H9*(1+U9),0)</x:f>
        <x:v>0</x:v>
      </x:c>
      <x:c r="AH9" s="153" t="n">
        <x:f>J9*T9</x:f>
        <x:v>0.13096</x:v>
      </x:c>
      <x:c r="AI9" s="153" t="n">
        <x:f>(AE9+AF9)*Emission_Factors!$C$5+AG9*AH9</x:f>
        <x:v>3557.9996172000006</x:v>
      </x:c>
      <x:c r="AJ9" s="153" t="n">
        <x:f>(AE9+AF9)*(Emission_Factors!$C$5+Emission_Factors!$C$6)+AG9*(AH9+Emission_Factors!$C$8+Emission_Factors!$C$9)</x:f>
        <x:v>4399.470369000001</x:v>
      </x:c>
      <x:c r="AK9" s="153" t="n">
        <x:f>(AE9+AF9)*K9+AG9*L9</x:f>
        <x:v>2134.6290000000004</x:v>
      </x:c>
      <x:c r="AL9" s="153" t="n">
        <x:f>E9*(V9+W9)</x:f>
        <x:v>10800</x:v>
      </x:c>
      <x:c r="AM9" s="153" t="n">
        <x:f>AK9+AL9</x:f>
        <x:v>12934.629</x:v>
      </x:c>
      <x:c r="AN9" s="154" t="n">
        <x:f>1-AI9/SUMIFS($AI$5:$AI$20,$A$5:$A$20,A9,$C$5:$C$20,"S1")</x:f>
        <x:v>0</x:v>
      </x:c>
      <x:c r="AO9" s="153" t="n">
        <x:f>F9*((1-G9)*P9+G9*P9*Q9)*(1+S9)*(1+U9)</x:f>
        <x:v>0</x:v>
      </x:c>
      <x:c r="AP9" s="153" t="n">
        <x:f>IF(P9=0,0,MAX(0,ROUNDUP(AO9/Plant_Specs!$C$5,0)-1))</x:f>
        <x:v>0</x:v>
      </x:c>
      <x:c r="AQ9" s="135" t="n">
        <x:f>100-AVERAGE(Z9,AA9)</x:f>
        <x:v>0</x:v>
      </x:c>
      <x:c r="AR9" s="135" t="n">
        <x:f>100-AB9</x:f>
        <x:v>0</x:v>
      </x:c>
      <x:c r="AS9" s="145" t="str">
        <x:v>Teaching assumptions; official carbon factors applied</x:v>
      </x:c>
      <x:c r="AT9" s="145" t="str">
        <x:v>Grid access is limited; temporary power and charging logistics are important. | Represents a traditional site-energy arrangement.</x:v>
      </x:c>
      <x:c r="AU9" s="130"/>
      <x:c r="AV9" s="130"/>
      <x:c r="AW9" s="130"/>
      <x:c r="AX9" s="130"/>
      <x:c r="AY9" s="130"/>
      <x:c r="AZ9" s="130"/>
    </x:row>
    <x:row r="10">
      <x:c r="A10" s="134" t="str">
        <x:v>C2</x:v>
      </x:c>
      <x:c r="B10" s="134" t="str">
        <x:v>Remote infrastructure site</x:v>
      </x:c>
      <x:c r="C10" s="134" t="str">
        <x:v>S2</x:v>
      </x:c>
      <x:c r="D10" s="134" t="str">
        <x:v>Stage V diesel + anti-idling + right-sized generator</x:v>
      </x:c>
      <x:c r="E10" s="134" t="n">
        <x:v>45</x:v>
      </x:c>
      <x:c r="F10" s="134" t="n">
        <x:v>8</x:v>
      </x:c>
      <x:c r="G10" s="142" t="n">
        <x:v>0.15</x:v>
      </x:c>
      <x:c r="H10" s="134" t="n">
        <x:v>25</x:v>
      </x:c>
      <x:c r="I10" s="134" t="str">
        <x:v>Limited</x:v>
      </x:c>
      <x:c r="J10" s="152" t="n">
        <x:v>0.13096</x:v>
      </x:c>
      <x:c r="K10" s="144" t="n">
        <x:v>1.55</x:v>
      </x:c>
      <x:c r="L10" s="144" t="n">
        <x:v>0.3</x:v>
      </x:c>
      <x:c r="M10" s="134" t="str">
        <x:v>Low</x:v>
      </x:c>
      <x:c r="N10" s="134" t="str">
        <x:v>Low</x:v>
      </x:c>
      <x:c r="O10" s="134" t="n">
        <x:v>2.8</x:v>
      </x:c>
      <x:c r="P10" s="134" t="n">
        <x:v>0</x:v>
      </x:c>
      <x:c r="Q10" s="134" t="n">
        <x:v>0.15</x:v>
      </x:c>
      <x:c r="R10" s="134" t="n">
        <x:v>0.24</x:v>
      </x:c>
      <x:c r="S10" s="142" t="n">
        <x:v>0</x:v>
      </x:c>
      <x:c r="T10" s="142" t="n">
        <x:v>1</x:v>
      </x:c>
      <x:c r="U10" s="142" t="n">
        <x:v>0</x:v>
      </x:c>
      <x:c r="V10" s="150" t="n">
        <x:v>200</x:v>
      </x:c>
      <x:c r="W10" s="150" t="n">
        <x:v>55</x:v>
      </x:c>
      <x:c r="X10" s="134" t="n">
        <x:v>100</x:v>
      </x:c>
      <x:c r="Y10" s="134" t="n">
        <x:v>0.1</x:v>
      </x:c>
      <x:c r="Z10" s="134" t="n">
        <x:v>35</x:v>
      </x:c>
      <x:c r="AA10" s="134" t="n">
        <x:v>25</x:v>
      </x:c>
      <x:c r="AB10" s="134" t="n">
        <x:v>95</x:v>
      </x:c>
      <x:c r="AC10" s="153" t="n">
        <x:f>E10*F10*(1-G10)</x:f>
        <x:v>306</x:v>
      </x:c>
      <x:c r="AD10" s="153" t="n">
        <x:f>E10*F10*G10</x:f>
        <x:v>54</x:v>
      </x:c>
      <x:c r="AE10" s="153" t="n">
        <x:f>AC10*O10+AD10*O10*Q10</x:f>
        <x:v>879.4799999999999</x:v>
      </x:c>
      <x:c r="AF10" s="153" t="n">
        <x:f>E10*H10*R10</x:f>
        <x:v>270</x:v>
      </x:c>
      <x:c r="AG10" s="153" t="n">
        <x:f>((AC10*P10)+(AD10*P10*Q10))*(1+S10)*(1+U10)+IF(R10=0,E10*H10*(1+U10),0)</x:f>
        <x:v>0</x:v>
      </x:c>
      <x:c r="AH10" s="153" t="n">
        <x:f>J10*T10</x:f>
        <x:v>0.13096</x:v>
      </x:c>
      <x:c r="AI10" s="153" t="n">
        <x:f>(AE10+AF10)*Emission_Factors!$C$5+AG10*AH10</x:f>
        <x:v>2969.7275592</x:v>
      </x:c>
      <x:c r="AJ10" s="153" t="n">
        <x:f>(AE10+AF10)*(Emission_Factors!$C$5+Emission_Factors!$C$6)+AG10*(AH10+Emission_Factors!$C$8+Emission_Factors!$C$9)</x:f>
        <x:v>3672.0713340000007</x:v>
      </x:c>
      <x:c r="AK10" s="153" t="n">
        <x:f>(AE10+AF10)*K10+AG10*L10</x:f>
        <x:v>1781.6940000000002</x:v>
      </x:c>
      <x:c r="AL10" s="153" t="n">
        <x:f>E10*(V10+W10)</x:f>
        <x:v>11475</x:v>
      </x:c>
      <x:c r="AM10" s="153" t="n">
        <x:f>AK10+AL10</x:f>
        <x:v>13256.694</x:v>
      </x:c>
      <x:c r="AN10" s="154" t="n">
        <x:f>1-AI10/SUMIFS($AI$5:$AI$20,$A$5:$A$20,A10,$C$5:$C$20,"S1")</x:f>
        <x:v>0.16533786433146003</x:v>
      </x:c>
      <x:c r="AO10" s="153" t="n">
        <x:f>F10*((1-G10)*P10+G10*P10*Q10)*(1+S10)*(1+U10)</x:f>
        <x:v>0</x:v>
      </x:c>
      <x:c r="AP10" s="153" t="n">
        <x:f>IF(P10=0,0,MAX(0,ROUNDUP(AO10/Plant_Specs!$C$5,0)-1))</x:f>
        <x:v>0</x:v>
      </x:c>
      <x:c r="AQ10" s="135" t="n">
        <x:f>100-AVERAGE(Z10,AA10)</x:f>
        <x:v>70</x:v>
      </x:c>
      <x:c r="AR10" s="135" t="n">
        <x:f>100-AB10</x:f>
        <x:v>5</x:v>
      </x:c>
      <x:c r="AS10" s="145" t="str">
        <x:v>Teaching assumptions; official carbon factors applied</x:v>
      </x:c>
      <x:c r="AT10" s="145" t="str">
        <x:v>Grid access is limited; temporary power and charging logistics are important. | Tests efficiency before full electrification.</x:v>
      </x:c>
      <x:c r="AU10" s="130"/>
      <x:c r="AV10" s="130"/>
      <x:c r="AW10" s="130"/>
      <x:c r="AX10" s="130"/>
      <x:c r="AY10" s="130"/>
      <x:c r="AZ10" s="130"/>
    </x:row>
    <x:row r="11">
      <x:c r="A11" s="134" t="str">
        <x:v>C2</x:v>
      </x:c>
      <x:c r="B11" s="134" t="str">
        <x:v>Remote infrastructure site</x:v>
      </x:c>
      <x:c r="C11" s="134" t="str">
        <x:v>S3</x:v>
      </x:c>
      <x:c r="D11" s="134" t="str">
        <x:v>Grid-connected electric plant</x:v>
      </x:c>
      <x:c r="E11" s="134" t="n">
        <x:v>45</x:v>
      </x:c>
      <x:c r="F11" s="134" t="n">
        <x:v>8</x:v>
      </x:c>
      <x:c r="G11" s="142" t="n">
        <x:v>0.15</x:v>
      </x:c>
      <x:c r="H11" s="134" t="n">
        <x:v>25</x:v>
      </x:c>
      <x:c r="I11" s="134" t="str">
        <x:v>Limited</x:v>
      </x:c>
      <x:c r="J11" s="152" t="n">
        <x:v>0.13096</x:v>
      </x:c>
      <x:c r="K11" s="144" t="n">
        <x:v>1.55</x:v>
      </x:c>
      <x:c r="L11" s="144" t="n">
        <x:v>0.3</x:v>
      </x:c>
      <x:c r="M11" s="134" t="str">
        <x:v>Low</x:v>
      </x:c>
      <x:c r="N11" s="134" t="str">
        <x:v>Low</x:v>
      </x:c>
      <x:c r="O11" s="134" t="n">
        <x:v>0</x:v>
      </x:c>
      <x:c r="P11" s="134" t="n">
        <x:v>3.33</x:v>
      </x:c>
      <x:c r="Q11" s="134" t="n">
        <x:v>0.05</x:v>
      </x:c>
      <x:c r="R11" s="134" t="n">
        <x:v>0</x:v>
      </x:c>
      <x:c r="S11" s="142" t="n">
        <x:v>0.1</x:v>
      </x:c>
      <x:c r="T11" s="142" t="n">
        <x:v>1</x:v>
      </x:c>
      <x:c r="U11" s="142" t="n">
        <x:v>0</x:v>
      </x:c>
      <x:c r="V11" s="150" t="n">
        <x:v>260</x:v>
      </x:c>
      <x:c r="W11" s="150" t="n">
        <x:v>30</x:v>
      </x:c>
      <x:c r="X11" s="134" t="n">
        <x:v>97</x:v>
      </x:c>
      <x:c r="Y11" s="134" t="n">
        <x:v>0.5</x:v>
      </x:c>
      <x:c r="Z11" s="134" t="n">
        <x:v>0</x:v>
      </x:c>
      <x:c r="AA11" s="134" t="n">
        <x:v>0</x:v>
      </x:c>
      <x:c r="AB11" s="134" t="n">
        <x:v>55</x:v>
      </x:c>
      <x:c r="AC11" s="153" t="n">
        <x:f>E11*F11*(1-G11)</x:f>
        <x:v>306</x:v>
      </x:c>
      <x:c r="AD11" s="153" t="n">
        <x:f>E11*F11*G11</x:f>
        <x:v>54</x:v>
      </x:c>
      <x:c r="AE11" s="153" t="n">
        <x:f>AC11*O11+AD11*O11*Q11</x:f>
        <x:v>0</x:v>
      </x:c>
      <x:c r="AF11" s="153" t="n">
        <x:f>E11*H11*R11</x:f>
        <x:v>0</x:v>
      </x:c>
      <x:c r="AG11" s="153" t="n">
        <x:f>((AC11*P11)+(AD11*P11*Q11))*(1+S11)*(1+U11)+IF(R11=0,E11*H11*(1+U11),0)</x:f>
        <x:v>2255.7681000000002</x:v>
      </x:c>
      <x:c r="AH11" s="153" t="n">
        <x:f>J11*T11</x:f>
        <x:v>0.13096</x:v>
      </x:c>
      <x:c r="AI11" s="153" t="n">
        <x:f>(AE11+AF11)*Emission_Factors!$C$5+AG11*AH11</x:f>
        <x:v>295.415390376</x:v>
      </x:c>
      <x:c r="AJ11" s="153" t="n">
        <x:f>(AE11+AF11)*(Emission_Factors!$C$5+Emission_Factors!$C$6)+AG11*(AH11+Emission_Factors!$C$8+Emission_Factors!$C$9)</x:f>
        <x:v>407.775199437</x:v>
      </x:c>
      <x:c r="AK11" s="153" t="n">
        <x:f>(AE11+AF11)*K11+AG11*L11</x:f>
        <x:v>676.7304300000001</x:v>
      </x:c>
      <x:c r="AL11" s="153" t="n">
        <x:f>E11*(V11+W11)</x:f>
        <x:v>13050</x:v>
      </x:c>
      <x:c r="AM11" s="153" t="n">
        <x:f>AK11+AL11</x:f>
        <x:v>13726.73043</x:v>
      </x:c>
      <x:c r="AN11" s="154" t="n">
        <x:f>1-AI11/SUMIFS($AI$5:$AI$20,$A$5:$A$20,A11,$C$5:$C$20,"S1")</x:f>
        <x:v>0.9169714946151456</x:v>
      </x:c>
      <x:c r="AO11" s="153" t="n">
        <x:f>F11*((1-G11)*P11+G11*P11*Q11)*(1+S11)*(1+U11)</x:f>
        <x:v>25.12818</x:v>
      </x:c>
      <x:c r="AP11" s="153" t="n">
        <x:f>IF(P11=0,0,MAX(0,ROUNDUP(AO11/Plant_Specs!$C$5,0)-1))</x:f>
        <x:v>1</x:v>
      </x:c>
      <x:c r="AQ11" s="135" t="n">
        <x:f>100-AVERAGE(Z11,AA11)</x:f>
        <x:v>100</x:v>
      </x:c>
      <x:c r="AR11" s="135" t="n">
        <x:f>100-AB11</x:f>
        <x:v>45</x:v>
      </x:c>
      <x:c r="AS11" s="145" t="str">
        <x:v>Manufacturer-informed electricity use; teaching cost assumptions</x:v>
      </x:c>
      <x:c r="AT11" s="145" t="str">
        <x:v>Grid access is limited; temporary power and charging logistics are important. | Uses a 20 kWh battery and an indicative six-hour runtime.</x:v>
      </x:c>
      <x:c r="AU11" s="130"/>
      <x:c r="AV11" s="130"/>
      <x:c r="AW11" s="130"/>
      <x:c r="AX11" s="130"/>
      <x:c r="AY11" s="130"/>
      <x:c r="AZ11" s="130"/>
    </x:row>
    <x:row r="12">
      <x:c r="A12" s="134" t="str">
        <x:v>C2</x:v>
      </x:c>
      <x:c r="B12" s="134" t="str">
        <x:v>Remote infrastructure site</x:v>
      </x:c>
      <x:c r="C12" s="134" t="str">
        <x:v>S4</x:v>
      </x:c>
      <x:c r="D12" s="134" t="str">
        <x:v>Electric plant + battery storage + smart charging</x:v>
      </x:c>
      <x:c r="E12" s="134" t="n">
        <x:v>45</x:v>
      </x:c>
      <x:c r="F12" s="134" t="n">
        <x:v>8</x:v>
      </x:c>
      <x:c r="G12" s="142" t="n">
        <x:v>0.15</x:v>
      </x:c>
      <x:c r="H12" s="134" t="n">
        <x:v>25</x:v>
      </x:c>
      <x:c r="I12" s="134" t="str">
        <x:v>Limited</x:v>
      </x:c>
      <x:c r="J12" s="152" t="n">
        <x:v>0.13096</x:v>
      </x:c>
      <x:c r="K12" s="144" t="n">
        <x:v>1.55</x:v>
      </x:c>
      <x:c r="L12" s="144" t="n">
        <x:v>0.3</x:v>
      </x:c>
      <x:c r="M12" s="134" t="str">
        <x:v>Low</x:v>
      </x:c>
      <x:c r="N12" s="134" t="str">
        <x:v>Low</x:v>
      </x:c>
      <x:c r="O12" s="134" t="n">
        <x:v>0</x:v>
      </x:c>
      <x:c r="P12" s="134" t="n">
        <x:v>3.33</x:v>
      </x:c>
      <x:c r="Q12" s="134" t="n">
        <x:v>0.05</x:v>
      </x:c>
      <x:c r="R12" s="134" t="n">
        <x:v>0</x:v>
      </x:c>
      <x:c r="S12" s="142" t="n">
        <x:v>0.1</x:v>
      </x:c>
      <x:c r="T12" s="142" t="n">
        <x:v>0.65</x:v>
      </x:c>
      <x:c r="U12" s="142" t="n">
        <x:v>0.12</x:v>
      </x:c>
      <x:c r="V12" s="150" t="n">
        <x:v>260</x:v>
      </x:c>
      <x:c r="W12" s="150" t="n">
        <x:v>80</x:v>
      </x:c>
      <x:c r="X12" s="134" t="n">
        <x:v>99</x:v>
      </x:c>
      <x:c r="Y12" s="134" t="n">
        <x:v>0.2</x:v>
      </x:c>
      <x:c r="Z12" s="134" t="n">
        <x:v>0</x:v>
      </x:c>
      <x:c r="AA12" s="134" t="n">
        <x:v>0</x:v>
      </x:c>
      <x:c r="AB12" s="134" t="n">
        <x:v>50</x:v>
      </x:c>
      <x:c r="AC12" s="153" t="n">
        <x:f>E12*F12*(1-G12)</x:f>
        <x:v>306</x:v>
      </x:c>
      <x:c r="AD12" s="153" t="n">
        <x:f>E12*F12*G12</x:f>
        <x:v>54</x:v>
      </x:c>
      <x:c r="AE12" s="153" t="n">
        <x:f>AC12*O12+AD12*O12*Q12</x:f>
        <x:v>0</x:v>
      </x:c>
      <x:c r="AF12" s="153" t="n">
        <x:f>E12*H12*R12</x:f>
        <x:v>0</x:v>
      </x:c>
      <x:c r="AG12" s="153" t="n">
        <x:f>((AC12*P12)+(AD12*P12*Q12))*(1+S12)*(1+U12)+IF(R12=0,E12*H12*(1+U12),0)</x:f>
        <x:v>2526.4602720000003</x:v>
      </x:c>
      <x:c r="AH12" s="153" t="n">
        <x:f>J12*T12</x:f>
        <x:v>0.085124</x:v>
      </x:c>
      <x:c r="AI12" s="153" t="n">
        <x:f>(AE12+AF12)*Emission_Factors!$C$5+AG12*AH12</x:f>
        <x:v>215.06240419372804</x:v>
      </x:c>
      <x:c r="AJ12" s="153" t="n">
        <x:f>(AE12+AF12)*(Emission_Factors!$C$5+Emission_Factors!$C$6)+AG12*(AH12+Emission_Factors!$C$8+Emission_Factors!$C$9)</x:f>
        <x:v>340.905390342048</x:v>
      </x:c>
      <x:c r="AK12" s="153" t="n">
        <x:f>(AE12+AF12)*K12+AG12*L12</x:f>
        <x:v>757.9380816</x:v>
      </x:c>
      <x:c r="AL12" s="153" t="n">
        <x:f>E12*(V12+W12)</x:f>
        <x:v>15300</x:v>
      </x:c>
      <x:c r="AM12" s="153" t="n">
        <x:f>AK12+AL12</x:f>
        <x:v>16057.9380816</x:v>
      </x:c>
      <x:c r="AN12" s="154" t="n">
        <x:f>1-AI12/SUMIFS($AI$5:$AI$20,$A$5:$A$20,A12,$C$5:$C$20,"S1")</x:f>
        <x:v>0.939555248079826</x:v>
      </x:c>
      <x:c r="AO12" s="153" t="n">
        <x:f>F12*((1-G12)*P12+G12*P12*Q12)*(1+S12)*(1+U12)</x:f>
        <x:v>28.1435616</x:v>
      </x:c>
      <x:c r="AP12" s="153" t="n">
        <x:f>IF(P12=0,0,MAX(0,ROUNDUP(AO12/Plant_Specs!$C$5,0)-1))</x:f>
        <x:v>1</x:v>
      </x:c>
      <x:c r="AQ12" s="135" t="n">
        <x:f>100-AVERAGE(Z12,AA12)</x:f>
        <x:v>100</x:v>
      </x:c>
      <x:c r="AR12" s="135" t="n">
        <x:f>100-AB12</x:f>
        <x:v>50</x:v>
      </x:c>
      <x:c r="AS12" s="145" t="str">
        <x:v>Manufacturer-informed electricity use; smart charging is a teaching assumption</x:v>
      </x:c>
      <x:c r="AT12" s="145" t="str">
        <x:v>Grid access is limited; temporary power and charging logistics are important. | Time-shifts charging and adds temporary battery storage.</x:v>
      </x:c>
      <x:c r="AU12" s="130"/>
      <x:c r="AV12" s="130"/>
      <x:c r="AW12" s="130"/>
      <x:c r="AX12" s="130"/>
      <x:c r="AY12" s="130"/>
      <x:c r="AZ12" s="130"/>
    </x:row>
    <x:row r="13">
      <x:c r="A13" s="134" t="str">
        <x:v>C3</x:v>
      </x:c>
      <x:c r="B13" s="134" t="str">
        <x:v>City-centre noise-restricted site</x:v>
      </x:c>
      <x:c r="C13" s="134" t="str">
        <x:v>S1</x:v>
      </x:c>
      <x:c r="D13" s="134" t="str">
        <x:v>Conventional diesel plant + diesel generator</x:v>
      </x:c>
      <x:c r="E13" s="134" t="n">
        <x:v>25</x:v>
      </x:c>
      <x:c r="F13" s="134" t="n">
        <x:v>6</x:v>
      </x:c>
      <x:c r="G13" s="142" t="n">
        <x:v>0.15</x:v>
      </x:c>
      <x:c r="H13" s="134" t="n">
        <x:v>18</x:v>
      </x:c>
      <x:c r="I13" s="134" t="str">
        <x:v>Available</x:v>
      </x:c>
      <x:c r="J13" s="152" t="n">
        <x:v>0.13096</x:v>
      </x:c>
      <x:c r="K13" s="144" t="n">
        <x:v>1.55</x:v>
      </x:c>
      <x:c r="L13" s="144" t="n">
        <x:v>0.27</x:v>
      </x:c>
      <x:c r="M13" s="134" t="str">
        <x:v>Very high</x:v>
      </x:c>
      <x:c r="N13" s="134" t="str">
        <x:v>High</x:v>
      </x:c>
      <x:c r="O13" s="134" t="n">
        <x:v>3.2</x:v>
      </x:c>
      <x:c r="P13" s="134" t="n">
        <x:v>0</x:v>
      </x:c>
      <x:c r="Q13" s="134" t="n">
        <x:v>0.35</x:v>
      </x:c>
      <x:c r="R13" s="134" t="n">
        <x:v>0.3</x:v>
      </x:c>
      <x:c r="S13" s="142" t="n">
        <x:v>0</x:v>
      </x:c>
      <x:c r="T13" s="142" t="n">
        <x:v>1</x:v>
      </x:c>
      <x:c r="U13" s="142" t="n">
        <x:v>0</x:v>
      </x:c>
      <x:c r="V13" s="150" t="n">
        <x:v>180</x:v>
      </x:c>
      <x:c r="W13" s="150" t="n">
        <x:v>60</x:v>
      </x:c>
      <x:c r="X13" s="134" t="n">
        <x:v>100</x:v>
      </x:c>
      <x:c r="Y13" s="134" t="n">
        <x:v>0.1</x:v>
      </x:c>
      <x:c r="Z13" s="134" t="n">
        <x:v>100</x:v>
      </x:c>
      <x:c r="AA13" s="134" t="n">
        <x:v>100</x:v>
      </x:c>
      <x:c r="AB13" s="134" t="n">
        <x:v>100</x:v>
      </x:c>
      <x:c r="AC13" s="153" t="n">
        <x:f>E13*F13*(1-G13)</x:f>
        <x:v>127.5</x:v>
      </x:c>
      <x:c r="AD13" s="153" t="n">
        <x:f>E13*F13*G13</x:f>
        <x:v>22.5</x:v>
      </x:c>
      <x:c r="AE13" s="153" t="n">
        <x:f>AC13*O13+AD13*O13*Q13</x:f>
        <x:v>433.2</x:v>
      </x:c>
      <x:c r="AF13" s="153" t="n">
        <x:f>E13*H13*R13</x:f>
        <x:v>135</x:v>
      </x:c>
      <x:c r="AG13" s="153" t="n">
        <x:f>((AC13*P13)+(AD13*P13*Q13))*(1+S13)*(1+U13)+IF(R13=0,E13*H13*(1+U13),0)</x:f>
        <x:v>0</x:v>
      </x:c>
      <x:c r="AH13" s="153" t="n">
        <x:f>J13*T13</x:f>
        <x:v>0.13096</x:v>
      </x:c>
      <x:c r="AI13" s="153" t="n">
        <x:f>(AE13+AF13)*Emission_Factors!$C$5+AG13*AH13</x:f>
        <x:v>1467.9674280000002</x:v>
      </x:c>
      <x:c r="AJ13" s="153" t="n">
        <x:f>(AE13+AF13)*(Emission_Factors!$C$5+Emission_Factors!$C$6)+AG13*(AH13+Emission_Factors!$C$8+Emission_Factors!$C$9)</x:f>
        <x:v>1815.1433100000004</x:v>
      </x:c>
      <x:c r="AK13" s="153" t="n">
        <x:f>(AE13+AF13)*K13+AG13*L13</x:f>
        <x:v>880.7100000000002</x:v>
      </x:c>
      <x:c r="AL13" s="153" t="n">
        <x:f>E13*(V13+W13)</x:f>
        <x:v>6000</x:v>
      </x:c>
      <x:c r="AM13" s="153" t="n">
        <x:f>AK13+AL13</x:f>
        <x:v>6880.71</x:v>
      </x:c>
      <x:c r="AN13" s="154" t="n">
        <x:f>1-AI13/SUMIFS($AI$5:$AI$20,$A$5:$A$20,A13,$C$5:$C$20,"S1")</x:f>
        <x:v>0</x:v>
      </x:c>
      <x:c r="AO13" s="153" t="n">
        <x:f>F13*((1-G13)*P13+G13*P13*Q13)*(1+S13)*(1+U13)</x:f>
        <x:v>0</x:v>
      </x:c>
      <x:c r="AP13" s="153" t="n">
        <x:f>IF(P13=0,0,MAX(0,ROUNDUP(AO13/Plant_Specs!$C$5,0)-1))</x:f>
        <x:v>0</x:v>
      </x:c>
      <x:c r="AQ13" s="135" t="n">
        <x:f>100-AVERAGE(Z13,AA13)</x:f>
        <x:v>0</x:v>
      </x:c>
      <x:c r="AR13" s="135" t="n">
        <x:f>100-AB13</x:f>
        <x:v>0</x:v>
      </x:c>
      <x:c r="AS13" s="145" t="str">
        <x:v>Teaching assumptions; official carbon factors applied</x:v>
      </x:c>
      <x:c r="AT13" s="145" t="str">
        <x:v>Shorter working window and strong noise constraints favour quiet plant. | Represents a traditional site-energy arrangement.</x:v>
      </x:c>
      <x:c r="AU13" s="130"/>
      <x:c r="AV13" s="130"/>
      <x:c r="AW13" s="130"/>
      <x:c r="AX13" s="130"/>
      <x:c r="AY13" s="130"/>
      <x:c r="AZ13" s="130"/>
    </x:row>
    <x:row r="14">
      <x:c r="A14" s="134" t="str">
        <x:v>C3</x:v>
      </x:c>
      <x:c r="B14" s="134" t="str">
        <x:v>City-centre noise-restricted site</x:v>
      </x:c>
      <x:c r="C14" s="134" t="str">
        <x:v>S2</x:v>
      </x:c>
      <x:c r="D14" s="134" t="str">
        <x:v>Stage V diesel + anti-idling + right-sized generator</x:v>
      </x:c>
      <x:c r="E14" s="134" t="n">
        <x:v>25</x:v>
      </x:c>
      <x:c r="F14" s="134" t="n">
        <x:v>6</x:v>
      </x:c>
      <x:c r="G14" s="142" t="n">
        <x:v>0.15</x:v>
      </x:c>
      <x:c r="H14" s="134" t="n">
        <x:v>18</x:v>
      </x:c>
      <x:c r="I14" s="134" t="str">
        <x:v>Available</x:v>
      </x:c>
      <x:c r="J14" s="152" t="n">
        <x:v>0.13096</x:v>
      </x:c>
      <x:c r="K14" s="144" t="n">
        <x:v>1.55</x:v>
      </x:c>
      <x:c r="L14" s="144" t="n">
        <x:v>0.27</x:v>
      </x:c>
      <x:c r="M14" s="134" t="str">
        <x:v>Very high</x:v>
      </x:c>
      <x:c r="N14" s="134" t="str">
        <x:v>High</x:v>
      </x:c>
      <x:c r="O14" s="134" t="n">
        <x:v>2.8</x:v>
      </x:c>
      <x:c r="P14" s="134" t="n">
        <x:v>0</x:v>
      </x:c>
      <x:c r="Q14" s="134" t="n">
        <x:v>0.15</x:v>
      </x:c>
      <x:c r="R14" s="134" t="n">
        <x:v>0.24</x:v>
      </x:c>
      <x:c r="S14" s="142" t="n">
        <x:v>0</x:v>
      </x:c>
      <x:c r="T14" s="142" t="n">
        <x:v>1</x:v>
      </x:c>
      <x:c r="U14" s="142" t="n">
        <x:v>0</x:v>
      </x:c>
      <x:c r="V14" s="150" t="n">
        <x:v>200</x:v>
      </x:c>
      <x:c r="W14" s="150" t="n">
        <x:v>55</x:v>
      </x:c>
      <x:c r="X14" s="134" t="n">
        <x:v>100</x:v>
      </x:c>
      <x:c r="Y14" s="134" t="n">
        <x:v>0.1</x:v>
      </x:c>
      <x:c r="Z14" s="134" t="n">
        <x:v>35</x:v>
      </x:c>
      <x:c r="AA14" s="134" t="n">
        <x:v>25</x:v>
      </x:c>
      <x:c r="AB14" s="134" t="n">
        <x:v>95</x:v>
      </x:c>
      <x:c r="AC14" s="153" t="n">
        <x:f>E14*F14*(1-G14)</x:f>
        <x:v>127.5</x:v>
      </x:c>
      <x:c r="AD14" s="153" t="n">
        <x:f>E14*F14*G14</x:f>
        <x:v>22.5</x:v>
      </x:c>
      <x:c r="AE14" s="153" t="n">
        <x:f>AC14*O14+AD14*O14*Q14</x:f>
        <x:v>366.45</x:v>
      </x:c>
      <x:c r="AF14" s="153" t="n">
        <x:f>E14*H14*R14</x:f>
        <x:v>108</x:v>
      </x:c>
      <x:c r="AG14" s="153" t="n">
        <x:f>((AC14*P14)+(AD14*P14*Q14))*(1+S14)*(1+U14)+IF(R14=0,E14*H14*(1+U14),0)</x:f>
        <x:v>0</x:v>
      </x:c>
      <x:c r="AH14" s="153" t="n">
        <x:f>J14*T14</x:f>
        <x:v>0.13096</x:v>
      </x:c>
      <x:c r="AI14" s="153" t="n">
        <x:f>(AE14+AF14)*Emission_Factors!$C$5+AG14*AH14</x:f>
        <x:v>1225.760553</x:v>
      </x:c>
      <x:c r="AJ14" s="153" t="n">
        <x:f>(AE14+AF14)*(Emission_Factors!$C$5+Emission_Factors!$C$6)+AG14*(AH14+Emission_Factors!$C$8+Emission_Factors!$C$9)</x:f>
        <x:v>1515.6542475</x:v>
      </x:c>
      <x:c r="AK14" s="153" t="n">
        <x:f>(AE14+AF14)*K14+AG14*L14</x:f>
        <x:v>735.3975</x:v>
      </x:c>
      <x:c r="AL14" s="153" t="n">
        <x:f>E14*(V14+W14)</x:f>
        <x:v>6375</x:v>
      </x:c>
      <x:c r="AM14" s="153" t="n">
        <x:f>AK14+AL14</x:f>
        <x:v>7110.3975</x:v>
      </x:c>
      <x:c r="AN14" s="154" t="n">
        <x:f>1-AI14/SUMIFS($AI$5:$AI$20,$A$5:$A$20,A14,$C$5:$C$20,"S1")</x:f>
        <x:v>0.16499472016895467</x:v>
      </x:c>
      <x:c r="AO14" s="153" t="n">
        <x:f>F14*((1-G14)*P14+G14*P14*Q14)*(1+S14)*(1+U14)</x:f>
        <x:v>0</x:v>
      </x:c>
      <x:c r="AP14" s="153" t="n">
        <x:f>IF(P14=0,0,MAX(0,ROUNDUP(AO14/Plant_Specs!$C$5,0)-1))</x:f>
        <x:v>0</x:v>
      </x:c>
      <x:c r="AQ14" s="135" t="n">
        <x:f>100-AVERAGE(Z14,AA14)</x:f>
        <x:v>70</x:v>
      </x:c>
      <x:c r="AR14" s="135" t="n">
        <x:f>100-AB14</x:f>
        <x:v>5</x:v>
      </x:c>
      <x:c r="AS14" s="145" t="str">
        <x:v>Teaching assumptions; official carbon factors applied</x:v>
      </x:c>
      <x:c r="AT14" s="145" t="str">
        <x:v>Shorter working window and strong noise constraints favour quiet plant. | Tests efficiency before full electrification.</x:v>
      </x:c>
      <x:c r="AU14" s="130"/>
      <x:c r="AV14" s="130"/>
      <x:c r="AW14" s="130"/>
      <x:c r="AX14" s="130"/>
      <x:c r="AY14" s="130"/>
      <x:c r="AZ14" s="130"/>
    </x:row>
    <x:row r="15">
      <x:c r="A15" s="134" t="str">
        <x:v>C3</x:v>
      </x:c>
      <x:c r="B15" s="134" t="str">
        <x:v>City-centre noise-restricted site</x:v>
      </x:c>
      <x:c r="C15" s="134" t="str">
        <x:v>S3</x:v>
      </x:c>
      <x:c r="D15" s="134" t="str">
        <x:v>Grid-connected electric plant</x:v>
      </x:c>
      <x:c r="E15" s="134" t="n">
        <x:v>25</x:v>
      </x:c>
      <x:c r="F15" s="134" t="n">
        <x:v>6</x:v>
      </x:c>
      <x:c r="G15" s="142" t="n">
        <x:v>0.15</x:v>
      </x:c>
      <x:c r="H15" s="134" t="n">
        <x:v>18</x:v>
      </x:c>
      <x:c r="I15" s="134" t="str">
        <x:v>Available</x:v>
      </x:c>
      <x:c r="J15" s="152" t="n">
        <x:v>0.13096</x:v>
      </x:c>
      <x:c r="K15" s="144" t="n">
        <x:v>1.55</x:v>
      </x:c>
      <x:c r="L15" s="144" t="n">
        <x:v>0.27</x:v>
      </x:c>
      <x:c r="M15" s="134" t="str">
        <x:v>Very high</x:v>
      </x:c>
      <x:c r="N15" s="134" t="str">
        <x:v>High</x:v>
      </x:c>
      <x:c r="O15" s="134" t="n">
        <x:v>0</x:v>
      </x:c>
      <x:c r="P15" s="134" t="n">
        <x:v>3.33</x:v>
      </x:c>
      <x:c r="Q15" s="134" t="n">
        <x:v>0.05</x:v>
      </x:c>
      <x:c r="R15" s="134" t="n">
        <x:v>0</x:v>
      </x:c>
      <x:c r="S15" s="142" t="n">
        <x:v>0.1</x:v>
      </x:c>
      <x:c r="T15" s="142" t="n">
        <x:v>1</x:v>
      </x:c>
      <x:c r="U15" s="142" t="n">
        <x:v>0</x:v>
      </x:c>
      <x:c r="V15" s="150" t="n">
        <x:v>260</x:v>
      </x:c>
      <x:c r="W15" s="150" t="n">
        <x:v>30</x:v>
      </x:c>
      <x:c r="X15" s="134" t="n">
        <x:v>97</x:v>
      </x:c>
      <x:c r="Y15" s="134" t="n">
        <x:v>0.5</x:v>
      </x:c>
      <x:c r="Z15" s="134" t="n">
        <x:v>0</x:v>
      </x:c>
      <x:c r="AA15" s="134" t="n">
        <x:v>0</x:v>
      </x:c>
      <x:c r="AB15" s="134" t="n">
        <x:v>55</x:v>
      </x:c>
      <x:c r="AC15" s="153" t="n">
        <x:f>E15*F15*(1-G15)</x:f>
        <x:v>127.5</x:v>
      </x:c>
      <x:c r="AD15" s="153" t="n">
        <x:f>E15*F15*G15</x:f>
        <x:v>22.5</x:v>
      </x:c>
      <x:c r="AE15" s="153" t="n">
        <x:f>AC15*O15+AD15*O15*Q15</x:f>
        <x:v>0</x:v>
      </x:c>
      <x:c r="AF15" s="153" t="n">
        <x:f>E15*H15*R15</x:f>
        <x:v>0</x:v>
      </x:c>
      <x:c r="AG15" s="153" t="n">
        <x:f>((AC15*P15)+(AD15*P15*Q15))*(1+S15)*(1+U15)+IF(R15=0,E15*H15*(1+U15),0)</x:f>
        <x:v>921.153375</x:v>
      </x:c>
      <x:c r="AH15" s="153" t="n">
        <x:f>J15*T15</x:f>
        <x:v>0.13096</x:v>
      </x:c>
      <x:c r="AI15" s="153" t="n">
        <x:f>(AE15+AF15)*Emission_Factors!$C$5+AG15*AH15</x:f>
        <x:v>120.63424599</x:v>
      </x:c>
      <x:c r="AJ15" s="153" t="n">
        <x:f>(AE15+AF15)*(Emission_Factors!$C$5+Emission_Factors!$C$6)+AG15*(AH15+Emission_Factors!$C$8+Emission_Factors!$C$9)</x:f>
        <x:v>166.51689559874998</x:v>
      </x:c>
      <x:c r="AK15" s="153" t="n">
        <x:f>(AE15+AF15)*K15+AG15*L15</x:f>
        <x:v>248.71141125</x:v>
      </x:c>
      <x:c r="AL15" s="153" t="n">
        <x:f>E15*(V15+W15)</x:f>
        <x:v>7250</x:v>
      </x:c>
      <x:c r="AM15" s="153" t="n">
        <x:f>AK15+AL15</x:f>
        <x:v>7498.71141125</x:v>
      </x:c>
      <x:c r="AN15" s="154" t="n">
        <x:f>1-AI15/SUMIFS($AI$5:$AI$20,$A$5:$A$20,A15,$C$5:$C$20,"S1")</x:f>
        <x:v>0.9178222597524828</x:v>
      </x:c>
      <x:c r="AO15" s="153" t="n">
        <x:f>F15*((1-G15)*P15+G15*P15*Q15)*(1+S15)*(1+U15)</x:f>
        <x:v>18.846135</x:v>
      </x:c>
      <x:c r="AP15" s="153" t="n">
        <x:f>IF(P15=0,0,MAX(0,ROUNDUP(AO15/Plant_Specs!$C$5,0)-1))</x:f>
        <x:v>0</x:v>
      </x:c>
      <x:c r="AQ15" s="135" t="n">
        <x:f>100-AVERAGE(Z15,AA15)</x:f>
        <x:v>100</x:v>
      </x:c>
      <x:c r="AR15" s="135" t="n">
        <x:f>100-AB15</x:f>
        <x:v>45</x:v>
      </x:c>
      <x:c r="AS15" s="145" t="str">
        <x:v>Manufacturer-informed electricity use; teaching cost assumptions</x:v>
      </x:c>
      <x:c r="AT15" s="145" t="str">
        <x:v>Shorter working window and strong noise constraints favour quiet plant. | Uses a 20 kWh battery and an indicative six-hour runtime.</x:v>
      </x:c>
      <x:c r="AU15" s="130"/>
      <x:c r="AV15" s="130"/>
      <x:c r="AW15" s="130"/>
      <x:c r="AX15" s="130"/>
      <x:c r="AY15" s="130"/>
      <x:c r="AZ15" s="130"/>
    </x:row>
    <x:row r="16">
      <x:c r="A16" s="134" t="str">
        <x:v>C3</x:v>
      </x:c>
      <x:c r="B16" s="134" t="str">
        <x:v>City-centre noise-restricted site</x:v>
      </x:c>
      <x:c r="C16" s="134" t="str">
        <x:v>S4</x:v>
      </x:c>
      <x:c r="D16" s="134" t="str">
        <x:v>Electric plant + battery storage + smart charging</x:v>
      </x:c>
      <x:c r="E16" s="134" t="n">
        <x:v>25</x:v>
      </x:c>
      <x:c r="F16" s="134" t="n">
        <x:v>6</x:v>
      </x:c>
      <x:c r="G16" s="142" t="n">
        <x:v>0.15</x:v>
      </x:c>
      <x:c r="H16" s="134" t="n">
        <x:v>18</x:v>
      </x:c>
      <x:c r="I16" s="134" t="str">
        <x:v>Available</x:v>
      </x:c>
      <x:c r="J16" s="152" t="n">
        <x:v>0.13096</x:v>
      </x:c>
      <x:c r="K16" s="144" t="n">
        <x:v>1.55</x:v>
      </x:c>
      <x:c r="L16" s="144" t="n">
        <x:v>0.27</x:v>
      </x:c>
      <x:c r="M16" s="134" t="str">
        <x:v>Very high</x:v>
      </x:c>
      <x:c r="N16" s="134" t="str">
        <x:v>High</x:v>
      </x:c>
      <x:c r="O16" s="134" t="n">
        <x:v>0</x:v>
      </x:c>
      <x:c r="P16" s="134" t="n">
        <x:v>3.33</x:v>
      </x:c>
      <x:c r="Q16" s="134" t="n">
        <x:v>0.05</x:v>
      </x:c>
      <x:c r="R16" s="134" t="n">
        <x:v>0</x:v>
      </x:c>
      <x:c r="S16" s="142" t="n">
        <x:v>0.1</x:v>
      </x:c>
      <x:c r="T16" s="142" t="n">
        <x:v>0.65</x:v>
      </x:c>
      <x:c r="U16" s="142" t="n">
        <x:v>0.12</x:v>
      </x:c>
      <x:c r="V16" s="150" t="n">
        <x:v>260</x:v>
      </x:c>
      <x:c r="W16" s="150" t="n">
        <x:v>80</x:v>
      </x:c>
      <x:c r="X16" s="134" t="n">
        <x:v>99</x:v>
      </x:c>
      <x:c r="Y16" s="134" t="n">
        <x:v>0.2</x:v>
      </x:c>
      <x:c r="Z16" s="134" t="n">
        <x:v>0</x:v>
      </x:c>
      <x:c r="AA16" s="134" t="n">
        <x:v>0</x:v>
      </x:c>
      <x:c r="AB16" s="134" t="n">
        <x:v>50</x:v>
      </x:c>
      <x:c r="AC16" s="153" t="n">
        <x:f>E16*F16*(1-G16)</x:f>
        <x:v>127.5</x:v>
      </x:c>
      <x:c r="AD16" s="153" t="n">
        <x:f>E16*F16*G16</x:f>
        <x:v>22.5</x:v>
      </x:c>
      <x:c r="AE16" s="153" t="n">
        <x:f>AC16*O16+AD16*O16*Q16</x:f>
        <x:v>0</x:v>
      </x:c>
      <x:c r="AF16" s="153" t="n">
        <x:f>E16*H16*R16</x:f>
        <x:v>0</x:v>
      </x:c>
      <x:c r="AG16" s="153" t="n">
        <x:f>((AC16*P16)+(AD16*P16*Q16))*(1+S16)*(1+U16)+IF(R16=0,E16*H16*(1+U16),0)</x:f>
        <x:v>1031.69178</x:v>
      </x:c>
      <x:c r="AH16" s="153" t="n">
        <x:f>J16*T16</x:f>
        <x:v>0.085124</x:v>
      </x:c>
      <x:c r="AI16" s="153" t="n">
        <x:f>(AE16+AF16)*Emission_Factors!$C$5+AG16*AH16</x:f>
        <x:v>87.82173108072001</x:v>
      </x:c>
      <x:c r="AJ16" s="153" t="n">
        <x:f>(AE16+AF16)*(Emission_Factors!$C$5+Emission_Factors!$C$6)+AG16*(AH16+Emission_Factors!$C$8+Emission_Factors!$C$9)</x:f>
        <x:v>139.21029864252</x:v>
      </x:c>
      <x:c r="AK16" s="153" t="n">
        <x:f>(AE16+AF16)*K16+AG16*L16</x:f>
        <x:v>278.5567806</x:v>
      </x:c>
      <x:c r="AL16" s="153" t="n">
        <x:f>E16*(V16+W16)</x:f>
        <x:v>8500</x:v>
      </x:c>
      <x:c r="AM16" s="153" t="n">
        <x:f>AK16+AL16</x:f>
        <x:v>8778.5567806</x:v>
      </x:c>
      <x:c r="AN16" s="154" t="n">
        <x:f>1-AI16/SUMIFS($AI$5:$AI$20,$A$5:$A$20,A16,$C$5:$C$20,"S1")</x:f>
        <x:v>0.9401746050998074</x:v>
      </x:c>
      <x:c r="AO16" s="153" t="n">
        <x:f>F16*((1-G16)*P16+G16*P16*Q16)*(1+S16)*(1+U16)</x:f>
        <x:v>21.107671200000002</x:v>
      </x:c>
      <x:c r="AP16" s="153" t="n">
        <x:f>IF(P16=0,0,MAX(0,ROUNDUP(AO16/Plant_Specs!$C$5,0)-1))</x:f>
        <x:v>1</x:v>
      </x:c>
      <x:c r="AQ16" s="135" t="n">
        <x:f>100-AVERAGE(Z16,AA16)</x:f>
        <x:v>100</x:v>
      </x:c>
      <x:c r="AR16" s="135" t="n">
        <x:f>100-AB16</x:f>
        <x:v>50</x:v>
      </x:c>
      <x:c r="AS16" s="145" t="str">
        <x:v>Manufacturer-informed electricity use; smart charging is a teaching assumption</x:v>
      </x:c>
      <x:c r="AT16" s="145" t="str">
        <x:v>Shorter working window and strong noise constraints favour quiet plant. | Time-shifts charging and adds temporary battery storage.</x:v>
      </x:c>
      <x:c r="AU16" s="130"/>
      <x:c r="AV16" s="130"/>
      <x:c r="AW16" s="130"/>
      <x:c r="AX16" s="130"/>
      <x:c r="AY16" s="130"/>
      <x:c r="AZ16" s="130"/>
    </x:row>
    <x:row r="17">
      <x:c r="A17" s="134" t="str">
        <x:v>C4</x:v>
      </x:c>
      <x:c r="B17" s="134" t="str">
        <x:v>Tight-programme long-shift site</x:v>
      </x:c>
      <x:c r="C17" s="134" t="str">
        <x:v>S1</x:v>
      </x:c>
      <x:c r="D17" s="134" t="str">
        <x:v>Conventional diesel plant + diesel generator</x:v>
      </x:c>
      <x:c r="E17" s="134" t="n">
        <x:v>20</x:v>
      </x:c>
      <x:c r="F17" s="134" t="n">
        <x:v>10</x:v>
      </x:c>
      <x:c r="G17" s="142" t="n">
        <x:v>0.1</x:v>
      </x:c>
      <x:c r="H17" s="134" t="n">
        <x:v>30</x:v>
      </x:c>
      <x:c r="I17" s="134" t="str">
        <x:v>Available</x:v>
      </x:c>
      <x:c r="J17" s="152" t="n">
        <x:v>0.13096</x:v>
      </x:c>
      <x:c r="K17" s="144" t="n">
        <x:v>1.55</x:v>
      </x:c>
      <x:c r="L17" s="144" t="n">
        <x:v>0.25</x:v>
      </x:c>
      <x:c r="M17" s="134" t="str">
        <x:v>Medium</x:v>
      </x:c>
      <x:c r="N17" s="134" t="str">
        <x:v>Medium</x:v>
      </x:c>
      <x:c r="O17" s="134" t="n">
        <x:v>3.2</x:v>
      </x:c>
      <x:c r="P17" s="134" t="n">
        <x:v>0</x:v>
      </x:c>
      <x:c r="Q17" s="134" t="n">
        <x:v>0.35</x:v>
      </x:c>
      <x:c r="R17" s="134" t="n">
        <x:v>0.3</x:v>
      </x:c>
      <x:c r="S17" s="142" t="n">
        <x:v>0</x:v>
      </x:c>
      <x:c r="T17" s="142" t="n">
        <x:v>1</x:v>
      </x:c>
      <x:c r="U17" s="142" t="n">
        <x:v>0</x:v>
      </x:c>
      <x:c r="V17" s="150" t="n">
        <x:v>180</x:v>
      </x:c>
      <x:c r="W17" s="150" t="n">
        <x:v>60</x:v>
      </x:c>
      <x:c r="X17" s="134" t="n">
        <x:v>100</x:v>
      </x:c>
      <x:c r="Y17" s="134" t="n">
        <x:v>0.1</x:v>
      </x:c>
      <x:c r="Z17" s="134" t="n">
        <x:v>100</x:v>
      </x:c>
      <x:c r="AA17" s="134" t="n">
        <x:v>100</x:v>
      </x:c>
      <x:c r="AB17" s="134" t="n">
        <x:v>100</x:v>
      </x:c>
      <x:c r="AC17" s="153" t="n">
        <x:f>E17*F17*(1-G17)</x:f>
        <x:v>180</x:v>
      </x:c>
      <x:c r="AD17" s="153" t="n">
        <x:f>E17*F17*G17</x:f>
        <x:v>20</x:v>
      </x:c>
      <x:c r="AE17" s="153" t="n">
        <x:f>AC17*O17+AD17*O17*Q17</x:f>
        <x:v>598.4</x:v>
      </x:c>
      <x:c r="AF17" s="153" t="n">
        <x:f>E17*H17*R17</x:f>
        <x:v>180</x:v>
      </x:c>
      <x:c r="AG17" s="153" t="n">
        <x:f>((AC17*P17)+(AD17*P17*Q17))*(1+S17)*(1+U17)+IF(R17=0,E17*H17*(1+U17),0)</x:f>
        <x:v>0</x:v>
      </x:c>
      <x:c r="AH17" s="153" t="n">
        <x:f>J17*T17</x:f>
        <x:v>0.13096</x:v>
      </x:c>
      <x:c r="AI17" s="153" t="n">
        <x:f>(AE17+AF17)*Emission_Factors!$C$5+AG17*AH17</x:f>
        <x:v>2011.027536</x:v>
      </x:c>
      <x:c r="AJ17" s="153" t="n">
        <x:f>(AE17+AF17)*(Emission_Factors!$C$5+Emission_Factors!$C$6)+AG17*(AH17+Emission_Factors!$C$8+Emission_Factors!$C$9)</x:f>
        <x:v>2486.63772</x:v>
      </x:c>
      <x:c r="AK17" s="153" t="n">
        <x:f>(AE17+AF17)*K17+AG17*L17</x:f>
        <x:v>1206.52</x:v>
      </x:c>
      <x:c r="AL17" s="153" t="n">
        <x:f>E17*(V17+W17)</x:f>
        <x:v>4800</x:v>
      </x:c>
      <x:c r="AM17" s="153" t="n">
        <x:f>AK17+AL17</x:f>
        <x:v>6006.52</x:v>
      </x:c>
      <x:c r="AN17" s="154" t="n">
        <x:f>1-AI17/SUMIFS($AI$5:$AI$20,$A$5:$A$20,A17,$C$5:$C$20,"S1")</x:f>
        <x:v>0</x:v>
      </x:c>
      <x:c r="AO17" s="153" t="n">
        <x:f>F17*((1-G17)*P17+G17*P17*Q17)*(1+S17)*(1+U17)</x:f>
        <x:v>0</x:v>
      </x:c>
      <x:c r="AP17" s="153" t="n">
        <x:f>IF(P17=0,0,MAX(0,ROUNDUP(AO17/Plant_Specs!$C$5,0)-1))</x:f>
        <x:v>0</x:v>
      </x:c>
      <x:c r="AQ17" s="135" t="n">
        <x:f>100-AVERAGE(Z17,AA17)</x:f>
        <x:v>0</x:v>
      </x:c>
      <x:c r="AR17" s="135" t="n">
        <x:f>100-AB17</x:f>
        <x:v>0</x:v>
      </x:c>
      <x:c r="AS17" s="145" t="str">
        <x:v>Teaching assumptions; official carbon factors applied</x:v>
      </x:c>
      <x:c r="AT17" s="145" t="str">
        <x:v>Long shifts test battery runtime, charging and productivity assumptions. | Represents a traditional site-energy arrangement.</x:v>
      </x:c>
      <x:c r="AU17" s="130"/>
      <x:c r="AV17" s="130"/>
      <x:c r="AW17" s="130"/>
      <x:c r="AX17" s="130"/>
      <x:c r="AY17" s="130"/>
      <x:c r="AZ17" s="130"/>
    </x:row>
    <x:row r="18">
      <x:c r="A18" s="134" t="str">
        <x:v>C4</x:v>
      </x:c>
      <x:c r="B18" s="134" t="str">
        <x:v>Tight-programme long-shift site</x:v>
      </x:c>
      <x:c r="C18" s="134" t="str">
        <x:v>S2</x:v>
      </x:c>
      <x:c r="D18" s="134" t="str">
        <x:v>Stage V diesel + anti-idling + right-sized generator</x:v>
      </x:c>
      <x:c r="E18" s="134" t="n">
        <x:v>20</x:v>
      </x:c>
      <x:c r="F18" s="134" t="n">
        <x:v>10</x:v>
      </x:c>
      <x:c r="G18" s="142" t="n">
        <x:v>0.1</x:v>
      </x:c>
      <x:c r="H18" s="134" t="n">
        <x:v>30</x:v>
      </x:c>
      <x:c r="I18" s="134" t="str">
        <x:v>Available</x:v>
      </x:c>
      <x:c r="J18" s="152" t="n">
        <x:v>0.13096</x:v>
      </x:c>
      <x:c r="K18" s="144" t="n">
        <x:v>1.55</x:v>
      </x:c>
      <x:c r="L18" s="144" t="n">
        <x:v>0.25</x:v>
      </x:c>
      <x:c r="M18" s="134" t="str">
        <x:v>Medium</x:v>
      </x:c>
      <x:c r="N18" s="134" t="str">
        <x:v>Medium</x:v>
      </x:c>
      <x:c r="O18" s="134" t="n">
        <x:v>2.8</x:v>
      </x:c>
      <x:c r="P18" s="134" t="n">
        <x:v>0</x:v>
      </x:c>
      <x:c r="Q18" s="134" t="n">
        <x:v>0.15</x:v>
      </x:c>
      <x:c r="R18" s="134" t="n">
        <x:v>0.24</x:v>
      </x:c>
      <x:c r="S18" s="142" t="n">
        <x:v>0</x:v>
      </x:c>
      <x:c r="T18" s="142" t="n">
        <x:v>1</x:v>
      </x:c>
      <x:c r="U18" s="142" t="n">
        <x:v>0</x:v>
      </x:c>
      <x:c r="V18" s="150" t="n">
        <x:v>200</x:v>
      </x:c>
      <x:c r="W18" s="150" t="n">
        <x:v>55</x:v>
      </x:c>
      <x:c r="X18" s="134" t="n">
        <x:v>100</x:v>
      </x:c>
      <x:c r="Y18" s="134" t="n">
        <x:v>0.1</x:v>
      </x:c>
      <x:c r="Z18" s="134" t="n">
        <x:v>35</x:v>
      </x:c>
      <x:c r="AA18" s="134" t="n">
        <x:v>25</x:v>
      </x:c>
      <x:c r="AB18" s="134" t="n">
        <x:v>95</x:v>
      </x:c>
      <x:c r="AC18" s="153" t="n">
        <x:f>E18*F18*(1-G18)</x:f>
        <x:v>180</x:v>
      </x:c>
      <x:c r="AD18" s="153" t="n">
        <x:f>E18*F18*G18</x:f>
        <x:v>20</x:v>
      </x:c>
      <x:c r="AE18" s="153" t="n">
        <x:f>AC18*O18+AD18*O18*Q18</x:f>
        <x:v>512.4</x:v>
      </x:c>
      <x:c r="AF18" s="153" t="n">
        <x:f>E18*H18*R18</x:f>
        <x:v>144</x:v>
      </x:c>
      <x:c r="AG18" s="153" t="n">
        <x:f>((AC18*P18)+(AD18*P18*Q18))*(1+S18)*(1+U18)+IF(R18=0,E18*H18*(1+U18),0)</x:f>
        <x:v>0</x:v>
      </x:c>
      <x:c r="AH18" s="153" t="n">
        <x:f>J18*T18</x:f>
        <x:v>0.13096</x:v>
      </x:c>
      <x:c r="AI18" s="153" t="n">
        <x:f>(AE18+AF18)*Emission_Factors!$C$5+AG18*AH18</x:f>
        <x:v>1695.835656</x:v>
      </x:c>
      <x:c r="AJ18" s="153" t="n">
        <x:f>(AE18+AF18)*(Emission_Factors!$C$5+Emission_Factors!$C$6)+AG18*(AH18+Emission_Factors!$C$8+Emission_Factors!$C$9)</x:f>
        <x:v>2096.9026200000003</x:v>
      </x:c>
      <x:c r="AK18" s="153" t="n">
        <x:f>(AE18+AF18)*K18+AG18*L18</x:f>
        <x:v>1017.42</x:v>
      </x:c>
      <x:c r="AL18" s="153" t="n">
        <x:f>E18*(V18+W18)</x:f>
        <x:v>5100</x:v>
      </x:c>
      <x:c r="AM18" s="153" t="n">
        <x:f>AK18+AL18</x:f>
        <x:v>6117.42</x:v>
      </x:c>
      <x:c r="AN18" s="154" t="n">
        <x:f>1-AI18/SUMIFS($AI$5:$AI$20,$A$5:$A$20,A18,$C$5:$C$20,"S1")</x:f>
        <x:v>0.15673175745118195</x:v>
      </x:c>
      <x:c r="AO18" s="153" t="n">
        <x:f>F18*((1-G18)*P18+G18*P18*Q18)*(1+S18)*(1+U18)</x:f>
        <x:v>0</x:v>
      </x:c>
      <x:c r="AP18" s="153" t="n">
        <x:f>IF(P18=0,0,MAX(0,ROUNDUP(AO18/Plant_Specs!$C$5,0)-1))</x:f>
        <x:v>0</x:v>
      </x:c>
      <x:c r="AQ18" s="135" t="n">
        <x:f>100-AVERAGE(Z18,AA18)</x:f>
        <x:v>70</x:v>
      </x:c>
      <x:c r="AR18" s="135" t="n">
        <x:f>100-AB18</x:f>
        <x:v>5</x:v>
      </x:c>
      <x:c r="AS18" s="145" t="str">
        <x:v>Teaching assumptions; official carbon factors applied</x:v>
      </x:c>
      <x:c r="AT18" s="145" t="str">
        <x:v>Long shifts test battery runtime, charging and productivity assumptions. | Tests efficiency before full electrification.</x:v>
      </x:c>
      <x:c r="AU18" s="130"/>
      <x:c r="AV18" s="130"/>
      <x:c r="AW18" s="130"/>
      <x:c r="AX18" s="130"/>
      <x:c r="AY18" s="130"/>
      <x:c r="AZ18" s="130"/>
    </x:row>
    <x:row r="19">
      <x:c r="A19" s="134" t="str">
        <x:v>C4</x:v>
      </x:c>
      <x:c r="B19" s="134" t="str">
        <x:v>Tight-programme long-shift site</x:v>
      </x:c>
      <x:c r="C19" s="134" t="str">
        <x:v>S3</x:v>
      </x:c>
      <x:c r="D19" s="134" t="str">
        <x:v>Grid-connected electric plant</x:v>
      </x:c>
      <x:c r="E19" s="134" t="n">
        <x:v>20</x:v>
      </x:c>
      <x:c r="F19" s="134" t="n">
        <x:v>10</x:v>
      </x:c>
      <x:c r="G19" s="142" t="n">
        <x:v>0.1</x:v>
      </x:c>
      <x:c r="H19" s="134" t="n">
        <x:v>30</x:v>
      </x:c>
      <x:c r="I19" s="134" t="str">
        <x:v>Available</x:v>
      </x:c>
      <x:c r="J19" s="152" t="n">
        <x:v>0.13096</x:v>
      </x:c>
      <x:c r="K19" s="144" t="n">
        <x:v>1.55</x:v>
      </x:c>
      <x:c r="L19" s="144" t="n">
        <x:v>0.25</x:v>
      </x:c>
      <x:c r="M19" s="134" t="str">
        <x:v>Medium</x:v>
      </x:c>
      <x:c r="N19" s="134" t="str">
        <x:v>Medium</x:v>
      </x:c>
      <x:c r="O19" s="134" t="n">
        <x:v>0</x:v>
      </x:c>
      <x:c r="P19" s="134" t="n">
        <x:v>3.33</x:v>
      </x:c>
      <x:c r="Q19" s="134" t="n">
        <x:v>0.05</x:v>
      </x:c>
      <x:c r="R19" s="134" t="n">
        <x:v>0</x:v>
      </x:c>
      <x:c r="S19" s="142" t="n">
        <x:v>0.1</x:v>
      </x:c>
      <x:c r="T19" s="142" t="n">
        <x:v>1</x:v>
      </x:c>
      <x:c r="U19" s="142" t="n">
        <x:v>0</x:v>
      </x:c>
      <x:c r="V19" s="150" t="n">
        <x:v>260</x:v>
      </x:c>
      <x:c r="W19" s="150" t="n">
        <x:v>30</x:v>
      </x:c>
      <x:c r="X19" s="134" t="n">
        <x:v>97</x:v>
      </x:c>
      <x:c r="Y19" s="134" t="n">
        <x:v>0.5</x:v>
      </x:c>
      <x:c r="Z19" s="134" t="n">
        <x:v>0</x:v>
      </x:c>
      <x:c r="AA19" s="134" t="n">
        <x:v>0</x:v>
      </x:c>
      <x:c r="AB19" s="134" t="n">
        <x:v>55</x:v>
      </x:c>
      <x:c r="AC19" s="153" t="n">
        <x:f>E19*F19*(1-G19)</x:f>
        <x:v>180</x:v>
      </x:c>
      <x:c r="AD19" s="153" t="n">
        <x:f>E19*F19*G19</x:f>
        <x:v>20</x:v>
      </x:c>
      <x:c r="AE19" s="153" t="n">
        <x:f>AC19*O19+AD19*O19*Q19</x:f>
        <x:v>0</x:v>
      </x:c>
      <x:c r="AF19" s="153" t="n">
        <x:f>E19*H19*R19</x:f>
        <x:v>0</x:v>
      </x:c>
      <x:c r="AG19" s="153" t="n">
        <x:f>((AC19*P19)+(AD19*P19*Q19))*(1+S19)*(1+U19)+IF(R19=0,E19*H19*(1+U19),0)</x:f>
        <x:v>1263.0030000000002</x:v>
      </x:c>
      <x:c r="AH19" s="153" t="n">
        <x:f>J19*T19</x:f>
        <x:v>0.13096</x:v>
      </x:c>
      <x:c r="AI19" s="153" t="n">
        <x:f>(AE19+AF19)*Emission_Factors!$C$5+AG19*AH19</x:f>
        <x:v>165.40287288000002</x:v>
      </x:c>
      <x:c r="AJ19" s="153" t="n">
        <x:f>(AE19+AF19)*(Emission_Factors!$C$5+Emission_Factors!$C$6)+AG19*(AH19+Emission_Factors!$C$8+Emission_Factors!$C$9)</x:f>
        <x:v>228.31305231000002</x:v>
      </x:c>
      <x:c r="AK19" s="153" t="n">
        <x:f>(AE19+AF19)*K19+AG19*L19</x:f>
        <x:v>315.75075000000004</x:v>
      </x:c>
      <x:c r="AL19" s="153" t="n">
        <x:f>E19*(V19+W19)</x:f>
        <x:v>5800</x:v>
      </x:c>
      <x:c r="AM19" s="153" t="n">
        <x:f>AK19+AL19</x:f>
        <x:v>6115.75075</x:v>
      </x:c>
      <x:c r="AN19" s="154" t="n">
        <x:f>1-AI19/SUMIFS($AI$5:$AI$20,$A$5:$A$20,A19,$C$5:$C$20,"S1")</x:f>
        <x:v>0.9177520596217237</x:v>
      </x:c>
      <x:c r="AO19" s="153" t="n">
        <x:f>F19*((1-G19)*P19+G19*P19*Q19)*(1+S19)*(1+U19)</x:f>
        <x:v>33.150150000000004</x:v>
      </x:c>
      <x:c r="AP19" s="153" t="n">
        <x:f>IF(P19=0,0,MAX(0,ROUNDUP(AO19/Plant_Specs!$C$5,0)-1))</x:f>
        <x:v>1</x:v>
      </x:c>
      <x:c r="AQ19" s="135" t="n">
        <x:f>100-AVERAGE(Z19,AA19)</x:f>
        <x:v>100</x:v>
      </x:c>
      <x:c r="AR19" s="135" t="n">
        <x:f>100-AB19</x:f>
        <x:v>45</x:v>
      </x:c>
      <x:c r="AS19" s="145" t="str">
        <x:v>Manufacturer-informed electricity use; teaching cost assumptions</x:v>
      </x:c>
      <x:c r="AT19" s="145" t="str">
        <x:v>Long shifts test battery runtime, charging and productivity assumptions. | Uses a 20 kWh battery and an indicative six-hour runtime.</x:v>
      </x:c>
      <x:c r="AU19" s="130"/>
      <x:c r="AV19" s="130"/>
      <x:c r="AW19" s="130"/>
      <x:c r="AX19" s="130"/>
      <x:c r="AY19" s="130"/>
      <x:c r="AZ19" s="130"/>
    </x:row>
    <x:row r="20">
      <x:c r="A20" s="134" t="str">
        <x:v>C4</x:v>
      </x:c>
      <x:c r="B20" s="134" t="str">
        <x:v>Tight-programme long-shift site</x:v>
      </x:c>
      <x:c r="C20" s="134" t="str">
        <x:v>S4</x:v>
      </x:c>
      <x:c r="D20" s="134" t="str">
        <x:v>Electric plant + battery storage + smart charging</x:v>
      </x:c>
      <x:c r="E20" s="134" t="n">
        <x:v>20</x:v>
      </x:c>
      <x:c r="F20" s="134" t="n">
        <x:v>10</x:v>
      </x:c>
      <x:c r="G20" s="142" t="n">
        <x:v>0.1</x:v>
      </x:c>
      <x:c r="H20" s="134" t="n">
        <x:v>30</x:v>
      </x:c>
      <x:c r="I20" s="134" t="str">
        <x:v>Available</x:v>
      </x:c>
      <x:c r="J20" s="152" t="n">
        <x:v>0.13096</x:v>
      </x:c>
      <x:c r="K20" s="144" t="n">
        <x:v>1.55</x:v>
      </x:c>
      <x:c r="L20" s="144" t="n">
        <x:v>0.25</x:v>
      </x:c>
      <x:c r="M20" s="134" t="str">
        <x:v>Medium</x:v>
      </x:c>
      <x:c r="N20" s="134" t="str">
        <x:v>Medium</x:v>
      </x:c>
      <x:c r="O20" s="134" t="n">
        <x:v>0</x:v>
      </x:c>
      <x:c r="P20" s="134" t="n">
        <x:v>3.33</x:v>
      </x:c>
      <x:c r="Q20" s="134" t="n">
        <x:v>0.05</x:v>
      </x:c>
      <x:c r="R20" s="134" t="n">
        <x:v>0</x:v>
      </x:c>
      <x:c r="S20" s="142" t="n">
        <x:v>0.1</x:v>
      </x:c>
      <x:c r="T20" s="142" t="n">
        <x:v>0.65</x:v>
      </x:c>
      <x:c r="U20" s="142" t="n">
        <x:v>0.12</x:v>
      </x:c>
      <x:c r="V20" s="150" t="n">
        <x:v>260</x:v>
      </x:c>
      <x:c r="W20" s="150" t="n">
        <x:v>80</x:v>
      </x:c>
      <x:c r="X20" s="134" t="n">
        <x:v>99</x:v>
      </x:c>
      <x:c r="Y20" s="134" t="n">
        <x:v>0.2</x:v>
      </x:c>
      <x:c r="Z20" s="134" t="n">
        <x:v>0</x:v>
      </x:c>
      <x:c r="AA20" s="134" t="n">
        <x:v>0</x:v>
      </x:c>
      <x:c r="AB20" s="134" t="n">
        <x:v>50</x:v>
      </x:c>
      <x:c r="AC20" s="153" t="n">
        <x:f>E20*F20*(1-G20)</x:f>
        <x:v>180</x:v>
      </x:c>
      <x:c r="AD20" s="153" t="n">
        <x:f>E20*F20*G20</x:f>
        <x:v>20</x:v>
      </x:c>
      <x:c r="AE20" s="153" t="n">
        <x:f>AC20*O20+AD20*O20*Q20</x:f>
        <x:v>0</x:v>
      </x:c>
      <x:c r="AF20" s="153" t="n">
        <x:f>E20*H20*R20</x:f>
        <x:v>0</x:v>
      </x:c>
      <x:c r="AG20" s="153" t="n">
        <x:f>((AC20*P20)+(AD20*P20*Q20))*(1+S20)*(1+U20)+IF(R20=0,E20*H20*(1+U20),0)</x:f>
        <x:v>1414.56336</x:v>
      </x:c>
      <x:c r="AH20" s="153" t="n">
        <x:f>J20*T20</x:f>
        <x:v>0.085124</x:v>
      </x:c>
      <x:c r="AI20" s="153" t="n">
        <x:f>(AE20+AF20)*Emission_Factors!$C$5+AG20*AH20</x:f>
        <x:v>120.41329145664001</x:v>
      </x:c>
      <x:c r="AJ20" s="153" t="n">
        <x:f>(AE20+AF20)*(Emission_Factors!$C$5+Emission_Factors!$C$6)+AG20*(AH20+Emission_Factors!$C$8+Emission_Factors!$C$9)</x:f>
        <x:v>190.87269241824</x:v>
      </x:c>
      <x:c r="AK20" s="153" t="n">
        <x:f>(AE20+AF20)*K20+AG20*L20</x:f>
        <x:v>353.64084</x:v>
      </x:c>
      <x:c r="AL20" s="153" t="n">
        <x:f>E20*(V20+W20)</x:f>
        <x:v>6800</x:v>
      </x:c>
      <x:c r="AM20" s="153" t="n">
        <x:f>AK20+AL20</x:f>
        <x:v>7153.64084</x:v>
      </x:c>
      <x:c r="AN20" s="154" t="n">
        <x:f>1-AI20/SUMIFS($AI$5:$AI$20,$A$5:$A$20,A20,$C$5:$C$20,"S1")</x:f>
        <x:v>0.9401234994046148</x:v>
      </x:c>
      <x:c r="AO20" s="153" t="n">
        <x:f>F20*((1-G20)*P20+G20*P20*Q20)*(1+S20)*(1+U20)</x:f>
        <x:v>37.12816800000001</x:v>
      </x:c>
      <x:c r="AP20" s="153" t="n">
        <x:f>IF(P20=0,0,MAX(0,ROUNDUP(AO20/Plant_Specs!$C$5,0)-1))</x:f>
        <x:v>1</x:v>
      </x:c>
      <x:c r="AQ20" s="135" t="n">
        <x:f>100-AVERAGE(Z20,AA20)</x:f>
        <x:v>100</x:v>
      </x:c>
      <x:c r="AR20" s="135" t="n">
        <x:f>100-AB20</x:f>
        <x:v>50</x:v>
      </x:c>
      <x:c r="AS20" s="145" t="str">
        <x:v>Manufacturer-informed electricity use; smart charging is a teaching assumption</x:v>
      </x:c>
      <x:c r="AT20" s="145" t="str">
        <x:v>Long shifts test battery runtime, charging and productivity assumptions. | Time-shifts charging and adds temporary battery storage.</x:v>
      </x:c>
      <x:c r="AU20" s="130"/>
      <x:c r="AV20" s="130"/>
      <x:c r="AW20" s="130"/>
      <x:c r="AX20" s="130"/>
      <x:c r="AY20" s="130"/>
      <x:c r="AZ20" s="130"/>
    </x:row>
    <x:row r="21">
      <x:c r="A21" s="130"/>
      <x:c r="B21" s="130"/>
      <x:c r="C21" s="130"/>
      <x:c r="D21" s="130"/>
      <x:c r="E21" s="130"/>
      <x:c r="F21" s="130"/>
      <x:c r="G21" s="130"/>
      <x:c r="H21" s="130"/>
      <x:c r="I21" s="130"/>
      <x:c r="J21" s="130"/>
      <x:c r="K21" s="130"/>
      <x:c r="L21" s="130"/>
      <x:c r="M21" s="130"/>
      <x:c r="N21" s="130"/>
      <x:c r="O21" s="130"/>
      <x:c r="P21" s="130"/>
      <x:c r="Q21" s="130"/>
      <x:c r="R21" s="130"/>
      <x:c r="S21" s="130"/>
      <x:c r="T21" s="130"/>
      <x:c r="U21" s="130"/>
      <x:c r="V21" s="130"/>
      <x:c r="W21" s="130"/>
      <x:c r="X21" s="130"/>
      <x:c r="Y21" s="130"/>
      <x:c r="Z21" s="130"/>
      <x:c r="AA21" s="130"/>
      <x:c r="AB21" s="130"/>
      <x:c r="AC21" s="130"/>
      <x:c r="AD21" s="130"/>
      <x:c r="AE21" s="130"/>
      <x:c r="AF21" s="130"/>
      <x:c r="AG21" s="130"/>
      <x:c r="AH21" s="130"/>
      <x:c r="AI21" s="130"/>
      <x:c r="AJ21" s="130"/>
      <x:c r="AK21" s="130"/>
      <x:c r="AL21" s="130"/>
      <x:c r="AM21" s="130"/>
      <x:c r="AN21" s="130"/>
      <x:c r="AO21" s="130"/>
      <x:c r="AP21" s="130"/>
      <x:c r="AQ21" s="130"/>
      <x:c r="AR21" s="130"/>
      <x:c r="AS21" s="130"/>
      <x:c r="AT21" s="130"/>
      <x:c r="AU21" s="130"/>
      <x:c r="AV21" s="130"/>
      <x:c r="AW21" s="130"/>
      <x:c r="AX21" s="130"/>
      <x:c r="AY21" s="130"/>
      <x:c r="AZ21" s="130"/>
    </x:row>
    <x:row r="22">
      <x:c r="A22" s="130"/>
      <x:c r="B22" s="130"/>
      <x:c r="C22" s="130"/>
      <x:c r="D22" s="130"/>
      <x:c r="E22" s="130"/>
      <x:c r="F22" s="130"/>
      <x:c r="G22" s="130"/>
      <x:c r="H22" s="130"/>
      <x:c r="I22" s="130"/>
      <x:c r="J22" s="130"/>
      <x:c r="K22" s="130"/>
      <x:c r="L22" s="130"/>
      <x:c r="M22" s="130"/>
      <x:c r="N22" s="130"/>
      <x:c r="O22" s="130"/>
      <x:c r="P22" s="130"/>
      <x:c r="Q22" s="130"/>
      <x:c r="R22" s="130"/>
      <x:c r="S22" s="130"/>
      <x:c r="T22" s="130"/>
      <x:c r="U22" s="130"/>
      <x:c r="V22" s="130"/>
      <x:c r="W22" s="130"/>
      <x:c r="X22" s="130"/>
      <x:c r="Y22" s="130"/>
      <x:c r="Z22" s="130"/>
      <x:c r="AA22" s="130"/>
      <x:c r="AB22" s="130"/>
      <x:c r="AC22" s="130"/>
      <x:c r="AD22" s="130"/>
      <x:c r="AE22" s="130"/>
      <x:c r="AF22" s="130"/>
      <x:c r="AG22" s="130"/>
      <x:c r="AH22" s="130"/>
      <x:c r="AI22" s="130"/>
      <x:c r="AJ22" s="130"/>
      <x:c r="AK22" s="130"/>
      <x:c r="AL22" s="130"/>
      <x:c r="AM22" s="130"/>
      <x:c r="AN22" s="130"/>
      <x:c r="AO22" s="130"/>
      <x:c r="AP22" s="130"/>
      <x:c r="AQ22" s="130"/>
      <x:c r="AR22" s="130"/>
      <x:c r="AS22" s="130"/>
      <x:c r="AT22" s="130"/>
      <x:c r="AU22" s="130"/>
      <x:c r="AV22" s="130"/>
      <x:c r="AW22" s="130"/>
      <x:c r="AX22" s="130"/>
      <x:c r="AY22" s="130"/>
      <x:c r="AZ22" s="130"/>
    </x:row>
    <x:row r="23">
      <x:c r="A23" s="130"/>
      <x:c r="B23" s="130"/>
      <x:c r="C23" s="130"/>
      <x:c r="D23" s="130"/>
      <x:c r="E23" s="130"/>
      <x:c r="F23" s="130"/>
      <x:c r="G23" s="130"/>
      <x:c r="H23" s="130"/>
      <x:c r="I23" s="130"/>
      <x:c r="J23" s="130"/>
      <x:c r="K23" s="130"/>
      <x:c r="L23" s="130"/>
      <x:c r="M23" s="130"/>
      <x:c r="N23" s="130"/>
      <x:c r="O23" s="130"/>
      <x:c r="P23" s="130"/>
      <x:c r="Q23" s="130"/>
      <x:c r="R23" s="130"/>
      <x:c r="S23" s="130"/>
      <x:c r="T23" s="130"/>
      <x:c r="U23" s="130"/>
      <x:c r="V23" s="130"/>
      <x:c r="W23" s="130"/>
      <x:c r="X23" s="130"/>
      <x:c r="Y23" s="130"/>
      <x:c r="Z23" s="130"/>
      <x:c r="AA23" s="130"/>
      <x:c r="AB23" s="130"/>
      <x:c r="AC23" s="130"/>
      <x:c r="AD23" s="130"/>
      <x:c r="AE23" s="130"/>
      <x:c r="AF23" s="130"/>
      <x:c r="AG23" s="130"/>
      <x:c r="AH23" s="130"/>
      <x:c r="AI23" s="130"/>
      <x:c r="AJ23" s="130"/>
      <x:c r="AK23" s="130"/>
      <x:c r="AL23" s="130"/>
      <x:c r="AM23" s="130"/>
      <x:c r="AN23" s="130"/>
      <x:c r="AO23" s="130"/>
      <x:c r="AP23" s="130"/>
      <x:c r="AQ23" s="130"/>
      <x:c r="AR23" s="130"/>
      <x:c r="AS23" s="130"/>
      <x:c r="AT23" s="130"/>
      <x:c r="AU23" s="130"/>
      <x:c r="AV23" s="130"/>
      <x:c r="AW23" s="130"/>
      <x:c r="AX23" s="130"/>
      <x:c r="AY23" s="130"/>
      <x:c r="AZ23" s="130"/>
    </x:row>
    <x:row r="24">
      <x:c r="A24" s="130"/>
      <x:c r="B24" s="130"/>
      <x:c r="C24" s="130"/>
      <x:c r="D24" s="130"/>
      <x:c r="E24" s="130"/>
      <x:c r="F24" s="130"/>
      <x:c r="G24" s="130"/>
      <x:c r="H24" s="130"/>
      <x:c r="I24" s="130"/>
      <x:c r="J24" s="130"/>
      <x:c r="K24" s="130"/>
      <x:c r="L24" s="130"/>
      <x:c r="M24" s="130"/>
      <x:c r="N24" s="130"/>
      <x:c r="O24" s="130"/>
      <x:c r="P24" s="130"/>
      <x:c r="Q24" s="130"/>
      <x:c r="R24" s="130"/>
      <x:c r="S24" s="130"/>
      <x:c r="T24" s="130"/>
      <x:c r="U24" s="130"/>
      <x:c r="V24" s="130"/>
      <x:c r="W24" s="130"/>
      <x:c r="X24" s="130"/>
      <x:c r="Y24" s="130"/>
      <x:c r="Z24" s="130"/>
      <x:c r="AA24" s="130"/>
      <x:c r="AB24" s="130"/>
      <x:c r="AC24" s="130"/>
      <x:c r="AD24" s="130"/>
      <x:c r="AE24" s="130"/>
      <x:c r="AF24" s="130"/>
      <x:c r="AG24" s="130"/>
      <x:c r="AH24" s="130"/>
      <x:c r="AI24" s="130"/>
      <x:c r="AJ24" s="130"/>
      <x:c r="AK24" s="130"/>
      <x:c r="AL24" s="130"/>
      <x:c r="AM24" s="130"/>
      <x:c r="AN24" s="130"/>
      <x:c r="AO24" s="130"/>
      <x:c r="AP24" s="130"/>
      <x:c r="AQ24" s="130"/>
      <x:c r="AR24" s="130"/>
      <x:c r="AS24" s="130"/>
      <x:c r="AT24" s="130"/>
      <x:c r="AU24" s="130"/>
      <x:c r="AV24" s="130"/>
      <x:c r="AW24" s="130"/>
      <x:c r="AX24" s="130"/>
      <x:c r="AY24" s="130"/>
      <x:c r="AZ24" s="130"/>
    </x:row>
    <x:row r="25">
      <x:c r="A25" s="130"/>
      <x:c r="B25" s="130"/>
      <x:c r="C25" s="130"/>
      <x:c r="D25" s="130"/>
      <x:c r="E25" s="130"/>
      <x:c r="F25" s="130"/>
      <x:c r="G25" s="130"/>
      <x:c r="H25" s="130"/>
      <x:c r="I25" s="130"/>
      <x:c r="J25" s="130"/>
      <x:c r="K25" s="130"/>
      <x:c r="L25" s="130"/>
      <x:c r="M25" s="130"/>
      <x:c r="N25" s="130"/>
      <x:c r="O25" s="130"/>
      <x:c r="P25" s="130"/>
      <x:c r="Q25" s="130"/>
      <x:c r="R25" s="130"/>
      <x:c r="S25" s="130"/>
      <x:c r="T25" s="130"/>
      <x:c r="U25" s="130"/>
      <x:c r="V25" s="130"/>
      <x:c r="W25" s="130"/>
      <x:c r="X25" s="130"/>
      <x:c r="Y25" s="130"/>
      <x:c r="Z25" s="130"/>
      <x:c r="AA25" s="130"/>
      <x:c r="AB25" s="130"/>
      <x:c r="AC25" s="130"/>
      <x:c r="AD25" s="130"/>
      <x:c r="AE25" s="130"/>
      <x:c r="AF25" s="130"/>
      <x:c r="AG25" s="130"/>
      <x:c r="AH25" s="130"/>
      <x:c r="AI25" s="130"/>
      <x:c r="AJ25" s="130"/>
      <x:c r="AK25" s="130"/>
      <x:c r="AL25" s="130"/>
      <x:c r="AM25" s="130"/>
      <x:c r="AN25" s="130"/>
      <x:c r="AO25" s="130"/>
      <x:c r="AP25" s="130"/>
      <x:c r="AQ25" s="130"/>
      <x:c r="AR25" s="130"/>
      <x:c r="AS25" s="130"/>
      <x:c r="AT25" s="130"/>
      <x:c r="AU25" s="130"/>
      <x:c r="AV25" s="130"/>
      <x:c r="AW25" s="130"/>
      <x:c r="AX25" s="130"/>
      <x:c r="AY25" s="130"/>
      <x:c r="AZ25" s="130"/>
    </x:row>
    <x:row r="26">
      <x:c r="A26" s="130"/>
      <x:c r="B26" s="130"/>
      <x:c r="C26" s="130"/>
      <x:c r="D26" s="130"/>
      <x:c r="E26" s="130"/>
      <x:c r="F26" s="130"/>
      <x:c r="G26" s="130"/>
      <x:c r="H26" s="130"/>
      <x:c r="I26" s="130"/>
      <x:c r="J26" s="130"/>
      <x:c r="K26" s="130"/>
      <x:c r="L26" s="130"/>
      <x:c r="M26" s="130"/>
      <x:c r="N26" s="130"/>
      <x:c r="O26" s="130"/>
      <x:c r="P26" s="130"/>
      <x:c r="Q26" s="130"/>
      <x:c r="R26" s="130"/>
      <x:c r="S26" s="130"/>
      <x:c r="T26" s="130"/>
      <x:c r="U26" s="130"/>
      <x:c r="V26" s="130"/>
      <x:c r="W26" s="130"/>
      <x:c r="X26" s="130"/>
      <x:c r="Y26" s="130"/>
      <x:c r="Z26" s="130"/>
      <x:c r="AA26" s="130"/>
      <x:c r="AB26" s="130"/>
      <x:c r="AC26" s="130"/>
      <x:c r="AD26" s="130"/>
      <x:c r="AE26" s="130"/>
      <x:c r="AF26" s="130"/>
      <x:c r="AG26" s="130"/>
      <x:c r="AH26" s="130"/>
      <x:c r="AI26" s="130"/>
      <x:c r="AJ26" s="130"/>
      <x:c r="AK26" s="130"/>
      <x:c r="AL26" s="130"/>
      <x:c r="AM26" s="130"/>
      <x:c r="AN26" s="130"/>
      <x:c r="AO26" s="130"/>
      <x:c r="AP26" s="130"/>
      <x:c r="AQ26" s="130"/>
      <x:c r="AR26" s="130"/>
      <x:c r="AS26" s="130"/>
      <x:c r="AT26" s="130"/>
      <x:c r="AU26" s="130"/>
      <x:c r="AV26" s="130"/>
      <x:c r="AW26" s="130"/>
      <x:c r="AX26" s="130"/>
      <x:c r="AY26" s="130"/>
      <x:c r="AZ26" s="130"/>
    </x:row>
    <x:row r="27">
      <x:c r="A27" s="130"/>
      <x:c r="B27" s="130"/>
      <x:c r="C27" s="130"/>
      <x:c r="D27" s="130"/>
      <x:c r="E27" s="130"/>
      <x:c r="F27" s="130"/>
      <x:c r="G27" s="130"/>
      <x:c r="H27" s="130"/>
      <x:c r="I27" s="130"/>
      <x:c r="J27" s="130"/>
      <x:c r="K27" s="130"/>
      <x:c r="L27" s="130"/>
      <x:c r="M27" s="130"/>
      <x:c r="N27" s="130"/>
      <x:c r="O27" s="130"/>
      <x:c r="P27" s="130"/>
      <x:c r="Q27" s="130"/>
      <x:c r="R27" s="130"/>
      <x:c r="S27" s="130"/>
      <x:c r="T27" s="130"/>
      <x:c r="U27" s="130"/>
      <x:c r="V27" s="130"/>
      <x:c r="W27" s="130"/>
      <x:c r="X27" s="130"/>
      <x:c r="Y27" s="130"/>
      <x:c r="Z27" s="130"/>
      <x:c r="AA27" s="130"/>
      <x:c r="AB27" s="130"/>
      <x:c r="AC27" s="130"/>
      <x:c r="AD27" s="130"/>
      <x:c r="AE27" s="130"/>
      <x:c r="AF27" s="130"/>
      <x:c r="AG27" s="130"/>
      <x:c r="AH27" s="130"/>
      <x:c r="AI27" s="130"/>
      <x:c r="AJ27" s="130"/>
      <x:c r="AK27" s="130"/>
      <x:c r="AL27" s="130"/>
      <x:c r="AM27" s="130"/>
      <x:c r="AN27" s="130"/>
      <x:c r="AO27" s="130"/>
      <x:c r="AP27" s="130"/>
      <x:c r="AQ27" s="130"/>
      <x:c r="AR27" s="130"/>
      <x:c r="AS27" s="130"/>
      <x:c r="AT27" s="130"/>
      <x:c r="AU27" s="130"/>
      <x:c r="AV27" s="130"/>
      <x:c r="AW27" s="130"/>
      <x:c r="AX27" s="130"/>
      <x:c r="AY27" s="130"/>
      <x:c r="AZ27" s="130"/>
    </x:row>
    <x:row r="28">
      <x:c r="A28" s="130"/>
      <x:c r="B28" s="130"/>
      <x:c r="C28" s="130"/>
      <x:c r="D28" s="130"/>
      <x:c r="E28" s="130"/>
      <x:c r="F28" s="130"/>
      <x:c r="G28" s="130"/>
      <x:c r="H28" s="130"/>
      <x:c r="I28" s="130"/>
      <x:c r="J28" s="130"/>
      <x:c r="K28" s="130"/>
      <x:c r="L28" s="130"/>
      <x:c r="M28" s="130"/>
      <x:c r="N28" s="130"/>
      <x:c r="O28" s="130"/>
      <x:c r="P28" s="130"/>
      <x:c r="Q28" s="130"/>
      <x:c r="R28" s="130"/>
      <x:c r="S28" s="130"/>
      <x:c r="T28" s="130"/>
      <x:c r="U28" s="130"/>
      <x:c r="V28" s="130"/>
      <x:c r="W28" s="130"/>
      <x:c r="X28" s="130"/>
      <x:c r="Y28" s="130"/>
      <x:c r="Z28" s="130"/>
      <x:c r="AA28" s="130"/>
      <x:c r="AB28" s="130"/>
      <x:c r="AC28" s="130"/>
      <x:c r="AD28" s="130"/>
      <x:c r="AE28" s="130"/>
      <x:c r="AF28" s="130"/>
      <x:c r="AG28" s="130"/>
      <x:c r="AH28" s="130"/>
      <x:c r="AI28" s="130"/>
      <x:c r="AJ28" s="130"/>
      <x:c r="AK28" s="130"/>
      <x:c r="AL28" s="130"/>
      <x:c r="AM28" s="130"/>
      <x:c r="AN28" s="130"/>
      <x:c r="AO28" s="130"/>
      <x:c r="AP28" s="130"/>
      <x:c r="AQ28" s="130"/>
      <x:c r="AR28" s="130"/>
      <x:c r="AS28" s="130"/>
      <x:c r="AT28" s="130"/>
      <x:c r="AU28" s="130"/>
      <x:c r="AV28" s="130"/>
      <x:c r="AW28" s="130"/>
      <x:c r="AX28" s="130"/>
      <x:c r="AY28" s="130"/>
      <x:c r="AZ28" s="130"/>
    </x:row>
    <x:row r="29">
      <x:c r="A29" s="130"/>
      <x:c r="B29" s="130"/>
      <x:c r="C29" s="130"/>
      <x:c r="D29" s="130"/>
      <x:c r="E29" s="130"/>
      <x:c r="F29" s="130"/>
      <x:c r="G29" s="130"/>
      <x:c r="H29" s="130"/>
      <x:c r="I29" s="130"/>
      <x:c r="J29" s="130"/>
      <x:c r="K29" s="130"/>
      <x:c r="L29" s="130"/>
      <x:c r="M29" s="130"/>
      <x:c r="N29" s="130"/>
      <x:c r="O29" s="130"/>
      <x:c r="P29" s="130"/>
      <x:c r="Q29" s="130"/>
      <x:c r="R29" s="130"/>
      <x:c r="S29" s="130"/>
      <x:c r="T29" s="130"/>
      <x:c r="U29" s="130"/>
      <x:c r="V29" s="130"/>
      <x:c r="W29" s="130"/>
      <x:c r="X29" s="130"/>
      <x:c r="Y29" s="130"/>
      <x:c r="Z29" s="130"/>
      <x:c r="AA29" s="130"/>
      <x:c r="AB29" s="130"/>
      <x:c r="AC29" s="130"/>
      <x:c r="AD29" s="130"/>
      <x:c r="AE29" s="130"/>
      <x:c r="AF29" s="130"/>
      <x:c r="AG29" s="130"/>
      <x:c r="AH29" s="130"/>
      <x:c r="AI29" s="130"/>
      <x:c r="AJ29" s="130"/>
      <x:c r="AK29" s="130"/>
      <x:c r="AL29" s="130"/>
      <x:c r="AM29" s="130"/>
      <x:c r="AN29" s="130"/>
      <x:c r="AO29" s="130"/>
      <x:c r="AP29" s="130"/>
      <x:c r="AQ29" s="130"/>
      <x:c r="AR29" s="130"/>
      <x:c r="AS29" s="130"/>
      <x:c r="AT29" s="130"/>
      <x:c r="AU29" s="130"/>
      <x:c r="AV29" s="130"/>
      <x:c r="AW29" s="130"/>
      <x:c r="AX29" s="130"/>
      <x:c r="AY29" s="130"/>
      <x:c r="AZ29" s="130"/>
    </x:row>
    <x:row r="30">
      <x:c r="A30" s="130"/>
      <x:c r="B30" s="130"/>
      <x:c r="C30" s="130"/>
      <x:c r="D30" s="130"/>
      <x:c r="E30" s="130"/>
      <x:c r="F30" s="130"/>
      <x:c r="G30" s="130"/>
      <x:c r="H30" s="130"/>
      <x:c r="I30" s="130"/>
      <x:c r="J30" s="130"/>
      <x:c r="K30" s="130"/>
      <x:c r="L30" s="130"/>
      <x:c r="M30" s="130"/>
      <x:c r="N30" s="130"/>
      <x:c r="O30" s="130"/>
      <x:c r="P30" s="130"/>
      <x:c r="Q30" s="130"/>
      <x:c r="R30" s="130"/>
      <x:c r="S30" s="130"/>
      <x:c r="T30" s="130"/>
      <x:c r="U30" s="130"/>
      <x:c r="V30" s="130"/>
      <x:c r="W30" s="130"/>
      <x:c r="X30" s="130"/>
      <x:c r="Y30" s="130"/>
      <x:c r="Z30" s="130"/>
      <x:c r="AA30" s="130"/>
      <x:c r="AB30" s="130"/>
      <x:c r="AC30" s="130"/>
      <x:c r="AD30" s="130"/>
      <x:c r="AE30" s="130"/>
      <x:c r="AF30" s="130"/>
      <x:c r="AG30" s="130"/>
      <x:c r="AH30" s="130"/>
      <x:c r="AI30" s="130"/>
      <x:c r="AJ30" s="130"/>
      <x:c r="AK30" s="130"/>
      <x:c r="AL30" s="130"/>
      <x:c r="AM30" s="130"/>
      <x:c r="AN30" s="130"/>
      <x:c r="AO30" s="130"/>
      <x:c r="AP30" s="130"/>
      <x:c r="AQ30" s="130"/>
      <x:c r="AR30" s="130"/>
      <x:c r="AS30" s="130"/>
      <x:c r="AT30" s="130"/>
      <x:c r="AU30" s="130"/>
      <x:c r="AV30" s="130"/>
      <x:c r="AW30" s="130"/>
      <x:c r="AX30" s="130"/>
      <x:c r="AY30" s="130"/>
      <x:c r="AZ30" s="130"/>
    </x:row>
    <x:row r="31">
      <x:c r="A31" s="130"/>
      <x:c r="B31" s="130"/>
      <x:c r="C31" s="130"/>
      <x:c r="D31" s="130"/>
      <x:c r="E31" s="130"/>
      <x:c r="F31" s="130"/>
      <x:c r="G31" s="130"/>
      <x:c r="H31" s="130"/>
      <x:c r="I31" s="130"/>
      <x:c r="J31" s="130"/>
      <x:c r="K31" s="130"/>
      <x:c r="L31" s="130"/>
      <x:c r="M31" s="130"/>
      <x:c r="N31" s="130"/>
      <x:c r="O31" s="130"/>
      <x:c r="P31" s="130"/>
      <x:c r="Q31" s="130"/>
      <x:c r="R31" s="130"/>
      <x:c r="S31" s="130"/>
      <x:c r="T31" s="130"/>
      <x:c r="U31" s="130"/>
      <x:c r="V31" s="130"/>
      <x:c r="W31" s="130"/>
      <x:c r="X31" s="130"/>
      <x:c r="Y31" s="130"/>
      <x:c r="Z31" s="130"/>
      <x:c r="AA31" s="130"/>
      <x:c r="AB31" s="130"/>
      <x:c r="AC31" s="130"/>
      <x:c r="AD31" s="130"/>
      <x:c r="AE31" s="130"/>
      <x:c r="AF31" s="130"/>
      <x:c r="AG31" s="130"/>
      <x:c r="AH31" s="130"/>
      <x:c r="AI31" s="130"/>
      <x:c r="AJ31" s="130"/>
      <x:c r="AK31" s="130"/>
      <x:c r="AL31" s="130"/>
      <x:c r="AM31" s="130"/>
      <x:c r="AN31" s="130"/>
      <x:c r="AO31" s="130"/>
      <x:c r="AP31" s="130"/>
      <x:c r="AQ31" s="130"/>
      <x:c r="AR31" s="130"/>
      <x:c r="AS31" s="130"/>
      <x:c r="AT31" s="130"/>
      <x:c r="AU31" s="130"/>
      <x:c r="AV31" s="130"/>
      <x:c r="AW31" s="130"/>
      <x:c r="AX31" s="130"/>
      <x:c r="AY31" s="130"/>
      <x:c r="AZ31" s="130"/>
    </x:row>
    <x:row r="32">
      <x:c r="A32" s="130"/>
      <x:c r="B32" s="130"/>
      <x:c r="C32" s="130"/>
      <x:c r="D32" s="130"/>
      <x:c r="E32" s="130"/>
      <x:c r="F32" s="130"/>
      <x:c r="G32" s="130"/>
      <x:c r="H32" s="130"/>
      <x:c r="I32" s="130"/>
      <x:c r="J32" s="130"/>
      <x:c r="K32" s="130"/>
      <x:c r="L32" s="130"/>
      <x:c r="M32" s="130"/>
      <x:c r="N32" s="130"/>
      <x:c r="O32" s="130"/>
      <x:c r="P32" s="130"/>
      <x:c r="Q32" s="130"/>
      <x:c r="R32" s="130"/>
      <x:c r="S32" s="130"/>
      <x:c r="T32" s="130"/>
      <x:c r="U32" s="130"/>
      <x:c r="V32" s="130"/>
      <x:c r="W32" s="130"/>
      <x:c r="X32" s="130"/>
      <x:c r="Y32" s="130"/>
      <x:c r="Z32" s="130"/>
      <x:c r="AA32" s="130"/>
      <x:c r="AB32" s="130"/>
      <x:c r="AC32" s="130"/>
      <x:c r="AD32" s="130"/>
      <x:c r="AE32" s="130"/>
      <x:c r="AF32" s="130"/>
      <x:c r="AG32" s="130"/>
      <x:c r="AH32" s="130"/>
      <x:c r="AI32" s="130"/>
      <x:c r="AJ32" s="130"/>
      <x:c r="AK32" s="130"/>
      <x:c r="AL32" s="130"/>
      <x:c r="AM32" s="130"/>
      <x:c r="AN32" s="130"/>
      <x:c r="AO32" s="130"/>
      <x:c r="AP32" s="130"/>
      <x:c r="AQ32" s="130"/>
      <x:c r="AR32" s="130"/>
      <x:c r="AS32" s="130"/>
      <x:c r="AT32" s="130"/>
      <x:c r="AU32" s="130"/>
      <x:c r="AV32" s="130"/>
      <x:c r="AW32" s="130"/>
      <x:c r="AX32" s="130"/>
      <x:c r="AY32" s="130"/>
      <x:c r="AZ32" s="130"/>
    </x:row>
    <x:row r="33">
      <x:c r="A33" s="130"/>
      <x:c r="B33" s="130"/>
      <x:c r="C33" s="130"/>
      <x:c r="D33" s="130"/>
      <x:c r="E33" s="130"/>
      <x:c r="F33" s="130"/>
      <x:c r="G33" s="130"/>
      <x:c r="H33" s="130"/>
      <x:c r="I33" s="130"/>
      <x:c r="J33" s="130"/>
      <x:c r="K33" s="130"/>
      <x:c r="L33" s="130"/>
      <x:c r="M33" s="130"/>
      <x:c r="N33" s="130"/>
      <x:c r="O33" s="130"/>
      <x:c r="P33" s="130"/>
      <x:c r="Q33" s="130"/>
      <x:c r="R33" s="130"/>
      <x:c r="S33" s="130"/>
      <x:c r="T33" s="130"/>
      <x:c r="U33" s="130"/>
      <x:c r="V33" s="130"/>
      <x:c r="W33" s="130"/>
      <x:c r="X33" s="130"/>
      <x:c r="Y33" s="130"/>
      <x:c r="Z33" s="130"/>
      <x:c r="AA33" s="130"/>
      <x:c r="AB33" s="130"/>
      <x:c r="AC33" s="130"/>
      <x:c r="AD33" s="130"/>
      <x:c r="AE33" s="130"/>
      <x:c r="AF33" s="130"/>
      <x:c r="AG33" s="130"/>
      <x:c r="AH33" s="130"/>
      <x:c r="AI33" s="130"/>
      <x:c r="AJ33" s="130"/>
      <x:c r="AK33" s="130"/>
      <x:c r="AL33" s="130"/>
      <x:c r="AM33" s="130"/>
      <x:c r="AN33" s="130"/>
      <x:c r="AO33" s="130"/>
      <x:c r="AP33" s="130"/>
      <x:c r="AQ33" s="130"/>
      <x:c r="AR33" s="130"/>
      <x:c r="AS33" s="130"/>
      <x:c r="AT33" s="130"/>
      <x:c r="AU33" s="130"/>
      <x:c r="AV33" s="130"/>
      <x:c r="AW33" s="130"/>
      <x:c r="AX33" s="130"/>
      <x:c r="AY33" s="130"/>
      <x:c r="AZ33" s="130"/>
    </x:row>
    <x:row r="34">
      <x:c r="A34" s="130"/>
      <x:c r="B34" s="130"/>
      <x:c r="C34" s="130"/>
      <x:c r="D34" s="130"/>
      <x:c r="E34" s="130"/>
      <x:c r="F34" s="130"/>
      <x:c r="G34" s="130"/>
      <x:c r="H34" s="130"/>
      <x:c r="I34" s="130"/>
      <x:c r="J34" s="130"/>
      <x:c r="K34" s="130"/>
      <x:c r="L34" s="130"/>
      <x:c r="M34" s="130"/>
      <x:c r="N34" s="130"/>
      <x:c r="O34" s="130"/>
      <x:c r="P34" s="130"/>
      <x:c r="Q34" s="130"/>
      <x:c r="R34" s="130"/>
      <x:c r="S34" s="130"/>
      <x:c r="T34" s="130"/>
      <x:c r="U34" s="130"/>
      <x:c r="V34" s="130"/>
      <x:c r="W34" s="130"/>
      <x:c r="X34" s="130"/>
      <x:c r="Y34" s="130"/>
      <x:c r="Z34" s="130"/>
      <x:c r="AA34" s="130"/>
      <x:c r="AB34" s="130"/>
      <x:c r="AC34" s="130"/>
      <x:c r="AD34" s="130"/>
      <x:c r="AE34" s="130"/>
      <x:c r="AF34" s="130"/>
      <x:c r="AG34" s="130"/>
      <x:c r="AH34" s="130"/>
      <x:c r="AI34" s="130"/>
      <x:c r="AJ34" s="130"/>
      <x:c r="AK34" s="130"/>
      <x:c r="AL34" s="130"/>
      <x:c r="AM34" s="130"/>
      <x:c r="AN34" s="130"/>
      <x:c r="AO34" s="130"/>
      <x:c r="AP34" s="130"/>
      <x:c r="AQ34" s="130"/>
      <x:c r="AR34" s="130"/>
      <x:c r="AS34" s="130"/>
      <x:c r="AT34" s="130"/>
      <x:c r="AU34" s="130"/>
      <x:c r="AV34" s="130"/>
      <x:c r="AW34" s="130"/>
      <x:c r="AX34" s="130"/>
      <x:c r="AY34" s="130"/>
      <x:c r="AZ34" s="130"/>
    </x:row>
    <x:row r="35">
      <x:c r="A35" s="130"/>
      <x:c r="B35" s="130"/>
      <x:c r="C35" s="130"/>
      <x:c r="D35" s="130"/>
      <x:c r="E35" s="130"/>
      <x:c r="F35" s="130"/>
      <x:c r="G35" s="130"/>
      <x:c r="H35" s="130"/>
      <x:c r="I35" s="130"/>
      <x:c r="J35" s="130"/>
      <x:c r="K35" s="130"/>
      <x:c r="L35" s="130"/>
      <x:c r="M35" s="130"/>
      <x:c r="N35" s="130"/>
      <x:c r="O35" s="130"/>
      <x:c r="P35" s="130"/>
      <x:c r="Q35" s="130"/>
      <x:c r="R35" s="130"/>
      <x:c r="S35" s="130"/>
      <x:c r="T35" s="130"/>
      <x:c r="U35" s="130"/>
      <x:c r="V35" s="130"/>
      <x:c r="W35" s="130"/>
      <x:c r="X35" s="130"/>
      <x:c r="Y35" s="130"/>
      <x:c r="Z35" s="130"/>
      <x:c r="AA35" s="130"/>
      <x:c r="AB35" s="130"/>
      <x:c r="AC35" s="130"/>
      <x:c r="AD35" s="130"/>
      <x:c r="AE35" s="130"/>
      <x:c r="AF35" s="130"/>
      <x:c r="AG35" s="130"/>
      <x:c r="AH35" s="130"/>
      <x:c r="AI35" s="130"/>
      <x:c r="AJ35" s="130"/>
      <x:c r="AK35" s="130"/>
      <x:c r="AL35" s="130"/>
      <x:c r="AM35" s="130"/>
      <x:c r="AN35" s="130"/>
      <x:c r="AO35" s="130"/>
      <x:c r="AP35" s="130"/>
      <x:c r="AQ35" s="130"/>
      <x:c r="AR35" s="130"/>
      <x:c r="AS35" s="130"/>
      <x:c r="AT35" s="130"/>
      <x:c r="AU35" s="130"/>
      <x:c r="AV35" s="130"/>
      <x:c r="AW35" s="130"/>
      <x:c r="AX35" s="130"/>
      <x:c r="AY35" s="130"/>
      <x:c r="AZ35" s="130"/>
    </x:row>
    <x:row r="36">
      <x:c r="A36" s="130"/>
      <x:c r="B36" s="130"/>
      <x:c r="C36" s="130"/>
      <x:c r="D36" s="130"/>
      <x:c r="E36" s="130"/>
      <x:c r="F36" s="130"/>
      <x:c r="G36" s="130"/>
      <x:c r="H36" s="130"/>
      <x:c r="I36" s="130"/>
      <x:c r="J36" s="130"/>
      <x:c r="K36" s="130"/>
      <x:c r="L36" s="130"/>
      <x:c r="M36" s="130"/>
      <x:c r="N36" s="130"/>
      <x:c r="O36" s="130"/>
      <x:c r="P36" s="130"/>
      <x:c r="Q36" s="130"/>
      <x:c r="R36" s="130"/>
      <x:c r="S36" s="130"/>
      <x:c r="T36" s="130"/>
      <x:c r="U36" s="130"/>
      <x:c r="V36" s="130"/>
      <x:c r="W36" s="130"/>
      <x:c r="X36" s="130"/>
      <x:c r="Y36" s="130"/>
      <x:c r="Z36" s="130"/>
      <x:c r="AA36" s="130"/>
      <x:c r="AB36" s="130"/>
      <x:c r="AC36" s="130"/>
      <x:c r="AD36" s="130"/>
      <x:c r="AE36" s="130"/>
      <x:c r="AF36" s="130"/>
      <x:c r="AG36" s="130"/>
      <x:c r="AH36" s="130"/>
      <x:c r="AI36" s="130"/>
      <x:c r="AJ36" s="130"/>
      <x:c r="AK36" s="130"/>
      <x:c r="AL36" s="130"/>
      <x:c r="AM36" s="130"/>
      <x:c r="AN36" s="130"/>
      <x:c r="AO36" s="130"/>
      <x:c r="AP36" s="130"/>
      <x:c r="AQ36" s="130"/>
      <x:c r="AR36" s="130"/>
      <x:c r="AS36" s="130"/>
      <x:c r="AT36" s="130"/>
      <x:c r="AU36" s="130"/>
      <x:c r="AV36" s="130"/>
      <x:c r="AW36" s="130"/>
      <x:c r="AX36" s="130"/>
      <x:c r="AY36" s="130"/>
      <x:c r="AZ36" s="130"/>
    </x:row>
    <x:row r="37">
      <x:c r="A37" s="130"/>
      <x:c r="B37" s="130"/>
      <x:c r="C37" s="130"/>
      <x:c r="D37" s="130"/>
      <x:c r="E37" s="130"/>
      <x:c r="F37" s="130"/>
      <x:c r="G37" s="130"/>
      <x:c r="H37" s="130"/>
      <x:c r="I37" s="130"/>
      <x:c r="J37" s="130"/>
      <x:c r="K37" s="130"/>
      <x:c r="L37" s="130"/>
      <x:c r="M37" s="130"/>
      <x:c r="N37" s="130"/>
      <x:c r="O37" s="130"/>
      <x:c r="P37" s="130"/>
      <x:c r="Q37" s="130"/>
      <x:c r="R37" s="130"/>
      <x:c r="S37" s="130"/>
      <x:c r="T37" s="130"/>
      <x:c r="U37" s="130"/>
      <x:c r="V37" s="130"/>
      <x:c r="W37" s="130"/>
      <x:c r="X37" s="130"/>
      <x:c r="Y37" s="130"/>
      <x:c r="Z37" s="130"/>
      <x:c r="AA37" s="130"/>
      <x:c r="AB37" s="130"/>
      <x:c r="AC37" s="130"/>
      <x:c r="AD37" s="130"/>
      <x:c r="AE37" s="130"/>
      <x:c r="AF37" s="130"/>
      <x:c r="AG37" s="130"/>
      <x:c r="AH37" s="130"/>
      <x:c r="AI37" s="130"/>
      <x:c r="AJ37" s="130"/>
      <x:c r="AK37" s="130"/>
      <x:c r="AL37" s="130"/>
      <x:c r="AM37" s="130"/>
      <x:c r="AN37" s="130"/>
      <x:c r="AO37" s="130"/>
      <x:c r="AP37" s="130"/>
      <x:c r="AQ37" s="130"/>
      <x:c r="AR37" s="130"/>
      <x:c r="AS37" s="130"/>
      <x:c r="AT37" s="130"/>
      <x:c r="AU37" s="130"/>
      <x:c r="AV37" s="130"/>
      <x:c r="AW37" s="130"/>
      <x:c r="AX37" s="130"/>
      <x:c r="AY37" s="130"/>
      <x:c r="AZ37" s="130"/>
    </x:row>
    <x:row r="38">
      <x:c r="A38" s="130"/>
      <x:c r="B38" s="130"/>
      <x:c r="C38" s="130"/>
      <x:c r="D38" s="130"/>
      <x:c r="E38" s="130"/>
      <x:c r="F38" s="130"/>
      <x:c r="G38" s="130"/>
      <x:c r="H38" s="130"/>
      <x:c r="I38" s="130"/>
      <x:c r="J38" s="130"/>
      <x:c r="K38" s="130"/>
      <x:c r="L38" s="130"/>
      <x:c r="M38" s="130"/>
      <x:c r="N38" s="130"/>
      <x:c r="O38" s="130"/>
      <x:c r="P38" s="130"/>
      <x:c r="Q38" s="130"/>
      <x:c r="R38" s="130"/>
      <x:c r="S38" s="130"/>
      <x:c r="T38" s="130"/>
      <x:c r="U38" s="130"/>
      <x:c r="V38" s="130"/>
      <x:c r="W38" s="130"/>
      <x:c r="X38" s="130"/>
      <x:c r="Y38" s="130"/>
      <x:c r="Z38" s="130"/>
      <x:c r="AA38" s="130"/>
      <x:c r="AB38" s="130"/>
      <x:c r="AC38" s="130"/>
      <x:c r="AD38" s="130"/>
      <x:c r="AE38" s="130"/>
      <x:c r="AF38" s="130"/>
      <x:c r="AG38" s="130"/>
      <x:c r="AH38" s="130"/>
      <x:c r="AI38" s="130"/>
      <x:c r="AJ38" s="130"/>
      <x:c r="AK38" s="130"/>
      <x:c r="AL38" s="130"/>
      <x:c r="AM38" s="130"/>
      <x:c r="AN38" s="130"/>
      <x:c r="AO38" s="130"/>
      <x:c r="AP38" s="130"/>
      <x:c r="AQ38" s="130"/>
      <x:c r="AR38" s="130"/>
      <x:c r="AS38" s="130"/>
      <x:c r="AT38" s="130"/>
      <x:c r="AU38" s="130"/>
      <x:c r="AV38" s="130"/>
      <x:c r="AW38" s="130"/>
      <x:c r="AX38" s="130"/>
      <x:c r="AY38" s="130"/>
      <x:c r="AZ38" s="130"/>
    </x:row>
    <x:row r="39">
      <x:c r="A39" s="130"/>
      <x:c r="B39" s="130"/>
      <x:c r="C39" s="130"/>
      <x:c r="D39" s="130"/>
      <x:c r="E39" s="130"/>
      <x:c r="F39" s="130"/>
      <x:c r="G39" s="130"/>
      <x:c r="H39" s="130"/>
      <x:c r="I39" s="130"/>
      <x:c r="J39" s="130"/>
      <x:c r="K39" s="130"/>
      <x:c r="L39" s="130"/>
      <x:c r="M39" s="130"/>
      <x:c r="N39" s="130"/>
      <x:c r="O39" s="130"/>
      <x:c r="P39" s="130"/>
      <x:c r="Q39" s="130"/>
      <x:c r="R39" s="130"/>
      <x:c r="S39" s="130"/>
      <x:c r="T39" s="130"/>
      <x:c r="U39" s="130"/>
      <x:c r="V39" s="130"/>
      <x:c r="W39" s="130"/>
      <x:c r="X39" s="130"/>
      <x:c r="Y39" s="130"/>
      <x:c r="Z39" s="130"/>
      <x:c r="AA39" s="130"/>
      <x:c r="AB39" s="130"/>
      <x:c r="AC39" s="130"/>
      <x:c r="AD39" s="130"/>
      <x:c r="AE39" s="130"/>
      <x:c r="AF39" s="130"/>
      <x:c r="AG39" s="130"/>
      <x:c r="AH39" s="130"/>
      <x:c r="AI39" s="130"/>
      <x:c r="AJ39" s="130"/>
      <x:c r="AK39" s="130"/>
      <x:c r="AL39" s="130"/>
      <x:c r="AM39" s="130"/>
      <x:c r="AN39" s="130"/>
      <x:c r="AO39" s="130"/>
      <x:c r="AP39" s="130"/>
      <x:c r="AQ39" s="130"/>
      <x:c r="AR39" s="130"/>
      <x:c r="AS39" s="130"/>
      <x:c r="AT39" s="130"/>
      <x:c r="AU39" s="130"/>
      <x:c r="AV39" s="130"/>
      <x:c r="AW39" s="130"/>
      <x:c r="AX39" s="130"/>
      <x:c r="AY39" s="130"/>
      <x:c r="AZ39" s="130"/>
    </x:row>
    <x:row r="40">
      <x:c r="A40" s="130"/>
      <x:c r="B40" s="130"/>
      <x:c r="C40" s="130"/>
      <x:c r="D40" s="130"/>
      <x:c r="E40" s="130"/>
      <x:c r="F40" s="130"/>
      <x:c r="G40" s="130"/>
      <x:c r="H40" s="130"/>
      <x:c r="I40" s="130"/>
      <x:c r="J40" s="130"/>
      <x:c r="K40" s="130"/>
      <x:c r="L40" s="130"/>
      <x:c r="M40" s="130"/>
      <x:c r="N40" s="130"/>
      <x:c r="O40" s="130"/>
      <x:c r="P40" s="130"/>
      <x:c r="Q40" s="130"/>
      <x:c r="R40" s="130"/>
      <x:c r="S40" s="130"/>
      <x:c r="T40" s="130"/>
      <x:c r="U40" s="130"/>
      <x:c r="V40" s="130"/>
      <x:c r="W40" s="130"/>
      <x:c r="X40" s="130"/>
      <x:c r="Y40" s="130"/>
      <x:c r="Z40" s="130"/>
      <x:c r="AA40" s="130"/>
      <x:c r="AB40" s="130"/>
      <x:c r="AC40" s="130"/>
      <x:c r="AD40" s="130"/>
      <x:c r="AE40" s="130"/>
      <x:c r="AF40" s="130"/>
      <x:c r="AG40" s="130"/>
      <x:c r="AH40" s="130"/>
      <x:c r="AI40" s="130"/>
      <x:c r="AJ40" s="130"/>
      <x:c r="AK40" s="130"/>
      <x:c r="AL40" s="130"/>
      <x:c r="AM40" s="130"/>
      <x:c r="AN40" s="130"/>
      <x:c r="AO40" s="130"/>
      <x:c r="AP40" s="130"/>
      <x:c r="AQ40" s="130"/>
      <x:c r="AR40" s="130"/>
      <x:c r="AS40" s="130"/>
      <x:c r="AT40" s="130"/>
      <x:c r="AU40" s="130"/>
      <x:c r="AV40" s="130"/>
      <x:c r="AW40" s="130"/>
      <x:c r="AX40" s="130"/>
      <x:c r="AY40" s="130"/>
      <x:c r="AZ40" s="130"/>
    </x:row>
    <x:row r="41">
      <x:c r="A41" s="130"/>
      <x:c r="B41" s="130"/>
      <x:c r="C41" s="130"/>
      <x:c r="D41" s="130"/>
      <x:c r="E41" s="130"/>
      <x:c r="F41" s="130"/>
      <x:c r="G41" s="130"/>
      <x:c r="H41" s="130"/>
      <x:c r="I41" s="130"/>
      <x:c r="J41" s="130"/>
      <x:c r="K41" s="130"/>
      <x:c r="L41" s="130"/>
      <x:c r="M41" s="130"/>
      <x:c r="N41" s="130"/>
      <x:c r="O41" s="130"/>
      <x:c r="P41" s="130"/>
      <x:c r="Q41" s="130"/>
      <x:c r="R41" s="130"/>
      <x:c r="S41" s="130"/>
      <x:c r="T41" s="130"/>
      <x:c r="U41" s="130"/>
      <x:c r="V41" s="130"/>
      <x:c r="W41" s="130"/>
      <x:c r="X41" s="130"/>
      <x:c r="Y41" s="130"/>
      <x:c r="Z41" s="130"/>
      <x:c r="AA41" s="130"/>
      <x:c r="AB41" s="130"/>
      <x:c r="AC41" s="130"/>
      <x:c r="AD41" s="130"/>
      <x:c r="AE41" s="130"/>
      <x:c r="AF41" s="130"/>
      <x:c r="AG41" s="130"/>
      <x:c r="AH41" s="130"/>
      <x:c r="AI41" s="130"/>
      <x:c r="AJ41" s="130"/>
      <x:c r="AK41" s="130"/>
      <x:c r="AL41" s="130"/>
      <x:c r="AM41" s="130"/>
      <x:c r="AN41" s="130"/>
      <x:c r="AO41" s="130"/>
      <x:c r="AP41" s="130"/>
      <x:c r="AQ41" s="130"/>
      <x:c r="AR41" s="130"/>
      <x:c r="AS41" s="130"/>
      <x:c r="AT41" s="130"/>
      <x:c r="AU41" s="130"/>
      <x:c r="AV41" s="130"/>
      <x:c r="AW41" s="130"/>
      <x:c r="AX41" s="130"/>
      <x:c r="AY41" s="130"/>
      <x:c r="AZ41" s="130"/>
    </x:row>
    <x:row r="42">
      <x:c r="A42" s="130"/>
      <x:c r="B42" s="130"/>
      <x:c r="C42" s="130"/>
      <x:c r="D42" s="130"/>
      <x:c r="E42" s="130"/>
      <x:c r="F42" s="130"/>
      <x:c r="G42" s="130"/>
      <x:c r="H42" s="130"/>
      <x:c r="I42" s="130"/>
      <x:c r="J42" s="130"/>
      <x:c r="K42" s="130"/>
      <x:c r="L42" s="130"/>
      <x:c r="M42" s="130"/>
      <x:c r="N42" s="130"/>
      <x:c r="O42" s="130"/>
      <x:c r="P42" s="130"/>
      <x:c r="Q42" s="130"/>
      <x:c r="R42" s="130"/>
      <x:c r="S42" s="130"/>
      <x:c r="T42" s="130"/>
      <x:c r="U42" s="130"/>
      <x:c r="V42" s="130"/>
      <x:c r="W42" s="130"/>
      <x:c r="X42" s="130"/>
      <x:c r="Y42" s="130"/>
      <x:c r="Z42" s="130"/>
      <x:c r="AA42" s="130"/>
      <x:c r="AB42" s="130"/>
      <x:c r="AC42" s="130"/>
      <x:c r="AD42" s="130"/>
      <x:c r="AE42" s="130"/>
      <x:c r="AF42" s="130"/>
      <x:c r="AG42" s="130"/>
      <x:c r="AH42" s="130"/>
      <x:c r="AI42" s="130"/>
      <x:c r="AJ42" s="130"/>
      <x:c r="AK42" s="130"/>
      <x:c r="AL42" s="130"/>
      <x:c r="AM42" s="130"/>
      <x:c r="AN42" s="130"/>
      <x:c r="AO42" s="130"/>
      <x:c r="AP42" s="130"/>
      <x:c r="AQ42" s="130"/>
      <x:c r="AR42" s="130"/>
      <x:c r="AS42" s="130"/>
      <x:c r="AT42" s="130"/>
      <x:c r="AU42" s="130"/>
      <x:c r="AV42" s="130"/>
      <x:c r="AW42" s="130"/>
      <x:c r="AX42" s="130"/>
      <x:c r="AY42" s="130"/>
      <x:c r="AZ42" s="130"/>
    </x:row>
    <x:row r="43">
      <x:c r="A43" s="130"/>
      <x:c r="B43" s="130"/>
      <x:c r="C43" s="130"/>
      <x:c r="D43" s="130"/>
      <x:c r="E43" s="130"/>
      <x:c r="F43" s="130"/>
      <x:c r="G43" s="130"/>
      <x:c r="H43" s="130"/>
      <x:c r="I43" s="130"/>
      <x:c r="J43" s="130"/>
      <x:c r="K43" s="130"/>
      <x:c r="L43" s="130"/>
      <x:c r="M43" s="130"/>
      <x:c r="N43" s="130"/>
      <x:c r="O43" s="130"/>
      <x:c r="P43" s="130"/>
      <x:c r="Q43" s="130"/>
      <x:c r="R43" s="130"/>
      <x:c r="S43" s="130"/>
      <x:c r="T43" s="130"/>
      <x:c r="U43" s="130"/>
      <x:c r="V43" s="130"/>
      <x:c r="W43" s="130"/>
      <x:c r="X43" s="130"/>
      <x:c r="Y43" s="130"/>
      <x:c r="Z43" s="130"/>
      <x:c r="AA43" s="130"/>
      <x:c r="AB43" s="130"/>
      <x:c r="AC43" s="130"/>
      <x:c r="AD43" s="130"/>
      <x:c r="AE43" s="130"/>
      <x:c r="AF43" s="130"/>
      <x:c r="AG43" s="130"/>
      <x:c r="AH43" s="130"/>
      <x:c r="AI43" s="130"/>
      <x:c r="AJ43" s="130"/>
      <x:c r="AK43" s="130"/>
      <x:c r="AL43" s="130"/>
      <x:c r="AM43" s="130"/>
      <x:c r="AN43" s="130"/>
      <x:c r="AO43" s="130"/>
      <x:c r="AP43" s="130"/>
      <x:c r="AQ43" s="130"/>
      <x:c r="AR43" s="130"/>
      <x:c r="AS43" s="130"/>
      <x:c r="AT43" s="130"/>
      <x:c r="AU43" s="130"/>
      <x:c r="AV43" s="130"/>
      <x:c r="AW43" s="130"/>
      <x:c r="AX43" s="130"/>
      <x:c r="AY43" s="130"/>
      <x:c r="AZ43" s="130"/>
    </x:row>
    <x:row r="44">
      <x:c r="A44" s="130"/>
      <x:c r="B44" s="130"/>
      <x:c r="C44" s="130"/>
      <x:c r="D44" s="130"/>
      <x:c r="E44" s="130"/>
      <x:c r="F44" s="130"/>
      <x:c r="G44" s="130"/>
      <x:c r="H44" s="130"/>
      <x:c r="I44" s="130"/>
      <x:c r="J44" s="130"/>
      <x:c r="K44" s="130"/>
      <x:c r="L44" s="130"/>
      <x:c r="M44" s="130"/>
      <x:c r="N44" s="130"/>
      <x:c r="O44" s="130"/>
      <x:c r="P44" s="130"/>
      <x:c r="Q44" s="130"/>
      <x:c r="R44" s="130"/>
      <x:c r="S44" s="130"/>
      <x:c r="T44" s="130"/>
      <x:c r="U44" s="130"/>
      <x:c r="V44" s="130"/>
      <x:c r="W44" s="130"/>
      <x:c r="X44" s="130"/>
      <x:c r="Y44" s="130"/>
      <x:c r="Z44" s="130"/>
      <x:c r="AA44" s="130"/>
      <x:c r="AB44" s="130"/>
      <x:c r="AC44" s="130"/>
      <x:c r="AD44" s="130"/>
      <x:c r="AE44" s="130"/>
      <x:c r="AF44" s="130"/>
      <x:c r="AG44" s="130"/>
      <x:c r="AH44" s="130"/>
      <x:c r="AI44" s="130"/>
      <x:c r="AJ44" s="130"/>
      <x:c r="AK44" s="130"/>
      <x:c r="AL44" s="130"/>
      <x:c r="AM44" s="130"/>
      <x:c r="AN44" s="130"/>
      <x:c r="AO44" s="130"/>
      <x:c r="AP44" s="130"/>
      <x:c r="AQ44" s="130"/>
      <x:c r="AR44" s="130"/>
      <x:c r="AS44" s="130"/>
      <x:c r="AT44" s="130"/>
      <x:c r="AU44" s="130"/>
      <x:c r="AV44" s="130"/>
      <x:c r="AW44" s="130"/>
      <x:c r="AX44" s="130"/>
      <x:c r="AY44" s="130"/>
      <x:c r="AZ44" s="130"/>
    </x:row>
    <x:row r="45">
      <x:c r="A45" s="130"/>
      <x:c r="B45" s="130"/>
      <x:c r="C45" s="130"/>
      <x:c r="D45" s="130"/>
      <x:c r="E45" s="130"/>
      <x:c r="F45" s="130"/>
      <x:c r="G45" s="130"/>
      <x:c r="H45" s="130"/>
      <x:c r="I45" s="130"/>
      <x:c r="J45" s="130"/>
      <x:c r="K45" s="130"/>
      <x:c r="L45" s="130"/>
      <x:c r="M45" s="130"/>
      <x:c r="N45" s="130"/>
      <x:c r="O45" s="130"/>
      <x:c r="P45" s="130"/>
      <x:c r="Q45" s="130"/>
      <x:c r="R45" s="130"/>
      <x:c r="S45" s="130"/>
      <x:c r="T45" s="130"/>
      <x:c r="U45" s="130"/>
      <x:c r="V45" s="130"/>
      <x:c r="W45" s="130"/>
      <x:c r="X45" s="130"/>
      <x:c r="Y45" s="130"/>
      <x:c r="Z45" s="130"/>
      <x:c r="AA45" s="130"/>
      <x:c r="AB45" s="130"/>
      <x:c r="AC45" s="130"/>
      <x:c r="AD45" s="130"/>
      <x:c r="AE45" s="130"/>
      <x:c r="AF45" s="130"/>
      <x:c r="AG45" s="130"/>
      <x:c r="AH45" s="130"/>
      <x:c r="AI45" s="130"/>
      <x:c r="AJ45" s="130"/>
      <x:c r="AK45" s="130"/>
      <x:c r="AL45" s="130"/>
      <x:c r="AM45" s="130"/>
      <x:c r="AN45" s="130"/>
      <x:c r="AO45" s="130"/>
      <x:c r="AP45" s="130"/>
      <x:c r="AQ45" s="130"/>
      <x:c r="AR45" s="130"/>
      <x:c r="AS45" s="130"/>
      <x:c r="AT45" s="130"/>
      <x:c r="AU45" s="130"/>
      <x:c r="AV45" s="130"/>
      <x:c r="AW45" s="130"/>
      <x:c r="AX45" s="130"/>
      <x:c r="AY45" s="130"/>
      <x:c r="AZ45" s="130"/>
    </x:row>
    <x:row r="46">
      <x:c r="A46" s="130"/>
      <x:c r="B46" s="130"/>
      <x:c r="C46" s="130"/>
      <x:c r="D46" s="130"/>
      <x:c r="E46" s="130"/>
      <x:c r="F46" s="130"/>
      <x:c r="G46" s="130"/>
      <x:c r="H46" s="130"/>
      <x:c r="I46" s="130"/>
      <x:c r="J46" s="130"/>
      <x:c r="K46" s="130"/>
      <x:c r="L46" s="130"/>
      <x:c r="M46" s="130"/>
      <x:c r="N46" s="130"/>
      <x:c r="O46" s="130"/>
      <x:c r="P46" s="130"/>
      <x:c r="Q46" s="130"/>
      <x:c r="R46" s="130"/>
      <x:c r="S46" s="130"/>
      <x:c r="T46" s="130"/>
      <x:c r="U46" s="130"/>
      <x:c r="V46" s="130"/>
      <x:c r="W46" s="130"/>
      <x:c r="X46" s="130"/>
      <x:c r="Y46" s="130"/>
      <x:c r="Z46" s="130"/>
      <x:c r="AA46" s="130"/>
      <x:c r="AB46" s="130"/>
      <x:c r="AC46" s="130"/>
      <x:c r="AD46" s="130"/>
      <x:c r="AE46" s="130"/>
      <x:c r="AF46" s="130"/>
      <x:c r="AG46" s="130"/>
      <x:c r="AH46" s="130"/>
      <x:c r="AI46" s="130"/>
      <x:c r="AJ46" s="130"/>
      <x:c r="AK46" s="130"/>
      <x:c r="AL46" s="130"/>
      <x:c r="AM46" s="130"/>
      <x:c r="AN46" s="130"/>
      <x:c r="AO46" s="130"/>
      <x:c r="AP46" s="130"/>
      <x:c r="AQ46" s="130"/>
      <x:c r="AR46" s="130"/>
      <x:c r="AS46" s="130"/>
      <x:c r="AT46" s="130"/>
      <x:c r="AU46" s="130"/>
      <x:c r="AV46" s="130"/>
      <x:c r="AW46" s="130"/>
      <x:c r="AX46" s="130"/>
      <x:c r="AY46" s="130"/>
      <x:c r="AZ46" s="130"/>
    </x:row>
    <x:row r="47">
      <x:c r="A47" s="130"/>
      <x:c r="B47" s="130"/>
      <x:c r="C47" s="130"/>
      <x:c r="D47" s="130"/>
      <x:c r="E47" s="130"/>
      <x:c r="F47" s="130"/>
      <x:c r="G47" s="130"/>
      <x:c r="H47" s="130"/>
      <x:c r="I47" s="130"/>
      <x:c r="J47" s="130"/>
      <x:c r="K47" s="130"/>
      <x:c r="L47" s="130"/>
      <x:c r="M47" s="130"/>
      <x:c r="N47" s="130"/>
      <x:c r="O47" s="130"/>
      <x:c r="P47" s="130"/>
      <x:c r="Q47" s="130"/>
      <x:c r="R47" s="130"/>
      <x:c r="S47" s="130"/>
      <x:c r="T47" s="130"/>
      <x:c r="U47" s="130"/>
      <x:c r="V47" s="130"/>
      <x:c r="W47" s="130"/>
      <x:c r="X47" s="130"/>
      <x:c r="Y47" s="130"/>
      <x:c r="Z47" s="130"/>
      <x:c r="AA47" s="130"/>
      <x:c r="AB47" s="130"/>
      <x:c r="AC47" s="130"/>
      <x:c r="AD47" s="130"/>
      <x:c r="AE47" s="130"/>
      <x:c r="AF47" s="130"/>
      <x:c r="AG47" s="130"/>
      <x:c r="AH47" s="130"/>
      <x:c r="AI47" s="130"/>
      <x:c r="AJ47" s="130"/>
      <x:c r="AK47" s="130"/>
      <x:c r="AL47" s="130"/>
      <x:c r="AM47" s="130"/>
      <x:c r="AN47" s="130"/>
      <x:c r="AO47" s="130"/>
      <x:c r="AP47" s="130"/>
      <x:c r="AQ47" s="130"/>
      <x:c r="AR47" s="130"/>
      <x:c r="AS47" s="130"/>
      <x:c r="AT47" s="130"/>
      <x:c r="AU47" s="130"/>
      <x:c r="AV47" s="130"/>
      <x:c r="AW47" s="130"/>
      <x:c r="AX47" s="130"/>
      <x:c r="AY47" s="130"/>
      <x:c r="AZ47" s="130"/>
    </x:row>
    <x:row r="48">
      <x:c r="A48" s="130"/>
      <x:c r="B48" s="130"/>
      <x:c r="C48" s="130"/>
      <x:c r="D48" s="130"/>
      <x:c r="E48" s="130"/>
      <x:c r="F48" s="130"/>
      <x:c r="G48" s="130"/>
      <x:c r="H48" s="130"/>
      <x:c r="I48" s="130"/>
      <x:c r="J48" s="130"/>
      <x:c r="K48" s="130"/>
      <x:c r="L48" s="130"/>
      <x:c r="M48" s="130"/>
      <x:c r="N48" s="130"/>
      <x:c r="O48" s="130"/>
      <x:c r="P48" s="130"/>
      <x:c r="Q48" s="130"/>
      <x:c r="R48" s="130"/>
      <x:c r="S48" s="130"/>
      <x:c r="T48" s="130"/>
      <x:c r="U48" s="130"/>
      <x:c r="V48" s="130"/>
      <x:c r="W48" s="130"/>
      <x:c r="X48" s="130"/>
      <x:c r="Y48" s="130"/>
      <x:c r="Z48" s="130"/>
      <x:c r="AA48" s="130"/>
      <x:c r="AB48" s="130"/>
      <x:c r="AC48" s="130"/>
      <x:c r="AD48" s="130"/>
      <x:c r="AE48" s="130"/>
      <x:c r="AF48" s="130"/>
      <x:c r="AG48" s="130"/>
      <x:c r="AH48" s="130"/>
      <x:c r="AI48" s="130"/>
      <x:c r="AJ48" s="130"/>
      <x:c r="AK48" s="130"/>
      <x:c r="AL48" s="130"/>
      <x:c r="AM48" s="130"/>
      <x:c r="AN48" s="130"/>
      <x:c r="AO48" s="130"/>
      <x:c r="AP48" s="130"/>
      <x:c r="AQ48" s="130"/>
      <x:c r="AR48" s="130"/>
      <x:c r="AS48" s="130"/>
      <x:c r="AT48" s="130"/>
      <x:c r="AU48" s="130"/>
      <x:c r="AV48" s="130"/>
      <x:c r="AW48" s="130"/>
      <x:c r="AX48" s="130"/>
      <x:c r="AY48" s="130"/>
      <x:c r="AZ48" s="130"/>
    </x:row>
    <x:row r="49">
      <x:c r="A49" s="130"/>
      <x:c r="B49" s="130"/>
      <x:c r="C49" s="130"/>
      <x:c r="D49" s="130"/>
      <x:c r="E49" s="130"/>
      <x:c r="F49" s="130"/>
      <x:c r="G49" s="130"/>
      <x:c r="H49" s="130"/>
      <x:c r="I49" s="130"/>
      <x:c r="J49" s="130"/>
      <x:c r="K49" s="130"/>
      <x:c r="L49" s="130"/>
      <x:c r="M49" s="130"/>
      <x:c r="N49" s="130"/>
      <x:c r="O49" s="130"/>
      <x:c r="P49" s="130"/>
      <x:c r="Q49" s="130"/>
      <x:c r="R49" s="130"/>
      <x:c r="S49" s="130"/>
      <x:c r="T49" s="130"/>
      <x:c r="U49" s="130"/>
      <x:c r="V49" s="130"/>
      <x:c r="W49" s="130"/>
      <x:c r="X49" s="130"/>
      <x:c r="Y49" s="130"/>
      <x:c r="Z49" s="130"/>
      <x:c r="AA49" s="130"/>
      <x:c r="AB49" s="130"/>
      <x:c r="AC49" s="130"/>
      <x:c r="AD49" s="130"/>
      <x:c r="AE49" s="130"/>
      <x:c r="AF49" s="130"/>
      <x:c r="AG49" s="130"/>
      <x:c r="AH49" s="130"/>
      <x:c r="AI49" s="130"/>
      <x:c r="AJ49" s="130"/>
      <x:c r="AK49" s="130"/>
      <x:c r="AL49" s="130"/>
      <x:c r="AM49" s="130"/>
      <x:c r="AN49" s="130"/>
      <x:c r="AO49" s="130"/>
      <x:c r="AP49" s="130"/>
      <x:c r="AQ49" s="130"/>
      <x:c r="AR49" s="130"/>
      <x:c r="AS49" s="130"/>
      <x:c r="AT49" s="130"/>
      <x:c r="AU49" s="130"/>
      <x:c r="AV49" s="130"/>
      <x:c r="AW49" s="130"/>
      <x:c r="AX49" s="130"/>
      <x:c r="AY49" s="130"/>
      <x:c r="AZ49" s="130"/>
    </x:row>
    <x:row r="50">
      <x:c r="A50" s="130"/>
      <x:c r="B50" s="130"/>
      <x:c r="C50" s="130"/>
      <x:c r="D50" s="130"/>
      <x:c r="E50" s="130"/>
      <x:c r="F50" s="130"/>
      <x:c r="G50" s="130"/>
      <x:c r="H50" s="130"/>
      <x:c r="I50" s="130"/>
      <x:c r="J50" s="130"/>
      <x:c r="K50" s="130"/>
      <x:c r="L50" s="130"/>
      <x:c r="M50" s="130"/>
      <x:c r="N50" s="130"/>
      <x:c r="O50" s="130"/>
      <x:c r="P50" s="130"/>
      <x:c r="Q50" s="130"/>
      <x:c r="R50" s="130"/>
      <x:c r="S50" s="130"/>
      <x:c r="T50" s="130"/>
      <x:c r="U50" s="130"/>
      <x:c r="V50" s="130"/>
      <x:c r="W50" s="130"/>
      <x:c r="X50" s="130"/>
      <x:c r="Y50" s="130"/>
      <x:c r="Z50" s="130"/>
      <x:c r="AA50" s="130"/>
      <x:c r="AB50" s="130"/>
      <x:c r="AC50" s="130"/>
      <x:c r="AD50" s="130"/>
      <x:c r="AE50" s="130"/>
      <x:c r="AF50" s="130"/>
      <x:c r="AG50" s="130"/>
      <x:c r="AH50" s="130"/>
      <x:c r="AI50" s="130"/>
      <x:c r="AJ50" s="130"/>
      <x:c r="AK50" s="130"/>
      <x:c r="AL50" s="130"/>
      <x:c r="AM50" s="130"/>
      <x:c r="AN50" s="130"/>
      <x:c r="AO50" s="130"/>
      <x:c r="AP50" s="130"/>
      <x:c r="AQ50" s="130"/>
      <x:c r="AR50" s="130"/>
      <x:c r="AS50" s="130"/>
      <x:c r="AT50" s="130"/>
      <x:c r="AU50" s="130"/>
      <x:c r="AV50" s="130"/>
      <x:c r="AW50" s="130"/>
      <x:c r="AX50" s="130"/>
      <x:c r="AY50" s="130"/>
      <x:c r="AZ50" s="130"/>
    </x:row>
    <x:row r="51">
      <x:c r="A51" s="130"/>
      <x:c r="B51" s="130"/>
      <x:c r="C51" s="130"/>
      <x:c r="D51" s="130"/>
      <x:c r="E51" s="130"/>
      <x:c r="F51" s="130"/>
      <x:c r="G51" s="130"/>
      <x:c r="H51" s="130"/>
      <x:c r="I51" s="130"/>
      <x:c r="J51" s="130"/>
      <x:c r="K51" s="130"/>
      <x:c r="L51" s="130"/>
      <x:c r="M51" s="130"/>
      <x:c r="N51" s="130"/>
      <x:c r="O51" s="130"/>
      <x:c r="P51" s="130"/>
      <x:c r="Q51" s="130"/>
      <x:c r="R51" s="130"/>
      <x:c r="S51" s="130"/>
      <x:c r="T51" s="130"/>
      <x:c r="U51" s="130"/>
      <x:c r="V51" s="130"/>
      <x:c r="W51" s="130"/>
      <x:c r="X51" s="130"/>
      <x:c r="Y51" s="130"/>
      <x:c r="Z51" s="130"/>
      <x:c r="AA51" s="130"/>
      <x:c r="AB51" s="130"/>
      <x:c r="AC51" s="130"/>
      <x:c r="AD51" s="130"/>
      <x:c r="AE51" s="130"/>
      <x:c r="AF51" s="130"/>
      <x:c r="AG51" s="130"/>
      <x:c r="AH51" s="130"/>
      <x:c r="AI51" s="130"/>
      <x:c r="AJ51" s="130"/>
      <x:c r="AK51" s="130"/>
      <x:c r="AL51" s="130"/>
      <x:c r="AM51" s="130"/>
      <x:c r="AN51" s="130"/>
      <x:c r="AO51" s="130"/>
      <x:c r="AP51" s="130"/>
      <x:c r="AQ51" s="130"/>
      <x:c r="AR51" s="130"/>
      <x:c r="AS51" s="130"/>
      <x:c r="AT51" s="130"/>
      <x:c r="AU51" s="130"/>
      <x:c r="AV51" s="130"/>
      <x:c r="AW51" s="130"/>
      <x:c r="AX51" s="130"/>
      <x:c r="AY51" s="130"/>
      <x:c r="AZ51" s="130"/>
    </x:row>
    <x:row r="52">
      <x:c r="A52" s="130"/>
      <x:c r="B52" s="130"/>
      <x:c r="C52" s="130"/>
      <x:c r="D52" s="130"/>
      <x:c r="E52" s="130"/>
      <x:c r="F52" s="130"/>
      <x:c r="G52" s="130"/>
      <x:c r="H52" s="130"/>
      <x:c r="I52" s="130"/>
      <x:c r="J52" s="130"/>
      <x:c r="K52" s="130"/>
      <x:c r="L52" s="130"/>
      <x:c r="M52" s="130"/>
      <x:c r="N52" s="130"/>
      <x:c r="O52" s="130"/>
      <x:c r="P52" s="130"/>
      <x:c r="Q52" s="130"/>
      <x:c r="R52" s="130"/>
      <x:c r="S52" s="130"/>
      <x:c r="T52" s="130"/>
      <x:c r="U52" s="130"/>
      <x:c r="V52" s="130"/>
      <x:c r="W52" s="130"/>
      <x:c r="X52" s="130"/>
      <x:c r="Y52" s="130"/>
      <x:c r="Z52" s="130"/>
      <x:c r="AA52" s="130"/>
      <x:c r="AB52" s="130"/>
      <x:c r="AC52" s="130"/>
      <x:c r="AD52" s="130"/>
      <x:c r="AE52" s="130"/>
      <x:c r="AF52" s="130"/>
      <x:c r="AG52" s="130"/>
      <x:c r="AH52" s="130"/>
      <x:c r="AI52" s="130"/>
      <x:c r="AJ52" s="130"/>
      <x:c r="AK52" s="130"/>
      <x:c r="AL52" s="130"/>
      <x:c r="AM52" s="130"/>
      <x:c r="AN52" s="130"/>
      <x:c r="AO52" s="130"/>
      <x:c r="AP52" s="130"/>
      <x:c r="AQ52" s="130"/>
      <x:c r="AR52" s="130"/>
      <x:c r="AS52" s="130"/>
      <x:c r="AT52" s="130"/>
      <x:c r="AU52" s="130"/>
      <x:c r="AV52" s="130"/>
      <x:c r="AW52" s="130"/>
      <x:c r="AX52" s="130"/>
      <x:c r="AY52" s="130"/>
      <x:c r="AZ52" s="130"/>
    </x:row>
    <x:row r="53">
      <x:c r="A53" s="130"/>
      <x:c r="B53" s="130"/>
      <x:c r="C53" s="130"/>
      <x:c r="D53" s="130"/>
      <x:c r="E53" s="130"/>
      <x:c r="F53" s="130"/>
      <x:c r="G53" s="130"/>
      <x:c r="H53" s="130"/>
      <x:c r="I53" s="130"/>
      <x:c r="J53" s="130"/>
      <x:c r="K53" s="130"/>
      <x:c r="L53" s="130"/>
      <x:c r="M53" s="130"/>
      <x:c r="N53" s="130"/>
      <x:c r="O53" s="130"/>
      <x:c r="P53" s="130"/>
      <x:c r="Q53" s="130"/>
      <x:c r="R53" s="130"/>
      <x:c r="S53" s="130"/>
      <x:c r="T53" s="130"/>
      <x:c r="U53" s="130"/>
      <x:c r="V53" s="130"/>
      <x:c r="W53" s="130"/>
      <x:c r="X53" s="130"/>
      <x:c r="Y53" s="130"/>
      <x:c r="Z53" s="130"/>
      <x:c r="AA53" s="130"/>
      <x:c r="AB53" s="130"/>
      <x:c r="AC53" s="130"/>
      <x:c r="AD53" s="130"/>
      <x:c r="AE53" s="130"/>
      <x:c r="AF53" s="130"/>
      <x:c r="AG53" s="130"/>
      <x:c r="AH53" s="130"/>
      <x:c r="AI53" s="130"/>
      <x:c r="AJ53" s="130"/>
      <x:c r="AK53" s="130"/>
      <x:c r="AL53" s="130"/>
      <x:c r="AM53" s="130"/>
      <x:c r="AN53" s="130"/>
      <x:c r="AO53" s="130"/>
      <x:c r="AP53" s="130"/>
      <x:c r="AQ53" s="130"/>
      <x:c r="AR53" s="130"/>
      <x:c r="AS53" s="130"/>
      <x:c r="AT53" s="130"/>
      <x:c r="AU53" s="130"/>
      <x:c r="AV53" s="130"/>
      <x:c r="AW53" s="130"/>
      <x:c r="AX53" s="130"/>
      <x:c r="AY53" s="130"/>
      <x:c r="AZ53" s="130"/>
    </x:row>
    <x:row r="54">
      <x:c r="A54" s="130"/>
      <x:c r="B54" s="130"/>
      <x:c r="C54" s="130"/>
      <x:c r="D54" s="130"/>
      <x:c r="E54" s="130"/>
      <x:c r="F54" s="130"/>
      <x:c r="G54" s="130"/>
      <x:c r="H54" s="130"/>
      <x:c r="I54" s="130"/>
      <x:c r="J54" s="130"/>
      <x:c r="K54" s="130"/>
      <x:c r="L54" s="130"/>
      <x:c r="M54" s="130"/>
      <x:c r="N54" s="130"/>
      <x:c r="O54" s="130"/>
      <x:c r="P54" s="130"/>
      <x:c r="Q54" s="130"/>
      <x:c r="R54" s="130"/>
      <x:c r="S54" s="130"/>
      <x:c r="T54" s="130"/>
      <x:c r="U54" s="130"/>
      <x:c r="V54" s="130"/>
      <x:c r="W54" s="130"/>
      <x:c r="X54" s="130"/>
      <x:c r="Y54" s="130"/>
      <x:c r="Z54" s="130"/>
      <x:c r="AA54" s="130"/>
      <x:c r="AB54" s="130"/>
      <x:c r="AC54" s="130"/>
      <x:c r="AD54" s="130"/>
      <x:c r="AE54" s="130"/>
      <x:c r="AF54" s="130"/>
      <x:c r="AG54" s="130"/>
      <x:c r="AH54" s="130"/>
      <x:c r="AI54" s="130"/>
      <x:c r="AJ54" s="130"/>
      <x:c r="AK54" s="130"/>
      <x:c r="AL54" s="130"/>
      <x:c r="AM54" s="130"/>
      <x:c r="AN54" s="130"/>
      <x:c r="AO54" s="130"/>
      <x:c r="AP54" s="130"/>
      <x:c r="AQ54" s="130"/>
      <x:c r="AR54" s="130"/>
      <x:c r="AS54" s="130"/>
      <x:c r="AT54" s="130"/>
      <x:c r="AU54" s="130"/>
      <x:c r="AV54" s="130"/>
      <x:c r="AW54" s="130"/>
      <x:c r="AX54" s="130"/>
      <x:c r="AY54" s="130"/>
      <x:c r="AZ54" s="130"/>
    </x:row>
    <x:row r="55">
      <x:c r="A55" s="130"/>
      <x:c r="B55" s="130"/>
      <x:c r="C55" s="130"/>
      <x:c r="D55" s="130"/>
      <x:c r="E55" s="130"/>
      <x:c r="F55" s="130"/>
      <x:c r="G55" s="130"/>
      <x:c r="H55" s="130"/>
      <x:c r="I55" s="130"/>
      <x:c r="J55" s="130"/>
      <x:c r="K55" s="130"/>
      <x:c r="L55" s="130"/>
      <x:c r="M55" s="130"/>
      <x:c r="N55" s="130"/>
      <x:c r="O55" s="130"/>
      <x:c r="P55" s="130"/>
      <x:c r="Q55" s="130"/>
      <x:c r="R55" s="130"/>
      <x:c r="S55" s="130"/>
      <x:c r="T55" s="130"/>
      <x:c r="U55" s="130"/>
      <x:c r="V55" s="130"/>
      <x:c r="W55" s="130"/>
      <x:c r="X55" s="130"/>
      <x:c r="Y55" s="130"/>
      <x:c r="Z55" s="130"/>
      <x:c r="AA55" s="130"/>
      <x:c r="AB55" s="130"/>
      <x:c r="AC55" s="130"/>
      <x:c r="AD55" s="130"/>
      <x:c r="AE55" s="130"/>
      <x:c r="AF55" s="130"/>
      <x:c r="AG55" s="130"/>
      <x:c r="AH55" s="130"/>
      <x:c r="AI55" s="130"/>
      <x:c r="AJ55" s="130"/>
      <x:c r="AK55" s="130"/>
      <x:c r="AL55" s="130"/>
      <x:c r="AM55" s="130"/>
      <x:c r="AN55" s="130"/>
      <x:c r="AO55" s="130"/>
      <x:c r="AP55" s="130"/>
      <x:c r="AQ55" s="130"/>
      <x:c r="AR55" s="130"/>
      <x:c r="AS55" s="130"/>
      <x:c r="AT55" s="130"/>
      <x:c r="AU55" s="130"/>
      <x:c r="AV55" s="130"/>
      <x:c r="AW55" s="130"/>
      <x:c r="AX55" s="130"/>
      <x:c r="AY55" s="130"/>
      <x:c r="AZ55" s="130"/>
    </x:row>
    <x:row r="56">
      <x:c r="A56" s="130"/>
      <x:c r="B56" s="130"/>
      <x:c r="C56" s="130"/>
      <x:c r="D56" s="130"/>
      <x:c r="E56" s="130"/>
      <x:c r="F56" s="130"/>
      <x:c r="G56" s="130"/>
      <x:c r="H56" s="130"/>
      <x:c r="I56" s="130"/>
      <x:c r="J56" s="130"/>
      <x:c r="K56" s="130"/>
      <x:c r="L56" s="130"/>
      <x:c r="M56" s="130"/>
      <x:c r="N56" s="130"/>
      <x:c r="O56" s="130"/>
      <x:c r="P56" s="130"/>
      <x:c r="Q56" s="130"/>
      <x:c r="R56" s="130"/>
      <x:c r="S56" s="130"/>
      <x:c r="T56" s="130"/>
      <x:c r="U56" s="130"/>
      <x:c r="V56" s="130"/>
      <x:c r="W56" s="130"/>
      <x:c r="X56" s="130"/>
      <x:c r="Y56" s="130"/>
      <x:c r="Z56" s="130"/>
      <x:c r="AA56" s="130"/>
      <x:c r="AB56" s="130"/>
      <x:c r="AC56" s="130"/>
      <x:c r="AD56" s="130"/>
      <x:c r="AE56" s="130"/>
      <x:c r="AF56" s="130"/>
      <x:c r="AG56" s="130"/>
      <x:c r="AH56" s="130"/>
      <x:c r="AI56" s="130"/>
      <x:c r="AJ56" s="130"/>
      <x:c r="AK56" s="130"/>
      <x:c r="AL56" s="130"/>
      <x:c r="AM56" s="130"/>
      <x:c r="AN56" s="130"/>
      <x:c r="AO56" s="130"/>
      <x:c r="AP56" s="130"/>
      <x:c r="AQ56" s="130"/>
      <x:c r="AR56" s="130"/>
      <x:c r="AS56" s="130"/>
      <x:c r="AT56" s="130"/>
      <x:c r="AU56" s="130"/>
      <x:c r="AV56" s="130"/>
      <x:c r="AW56" s="130"/>
      <x:c r="AX56" s="130"/>
      <x:c r="AY56" s="130"/>
      <x:c r="AZ56" s="130"/>
    </x:row>
    <x:row r="57">
      <x:c r="A57" s="130"/>
      <x:c r="B57" s="130"/>
      <x:c r="C57" s="130"/>
      <x:c r="D57" s="130"/>
      <x:c r="E57" s="130"/>
      <x:c r="F57" s="130"/>
      <x:c r="G57" s="130"/>
      <x:c r="H57" s="130"/>
      <x:c r="I57" s="130"/>
      <x:c r="J57" s="130"/>
      <x:c r="K57" s="130"/>
      <x:c r="L57" s="130"/>
      <x:c r="M57" s="130"/>
      <x:c r="N57" s="130"/>
      <x:c r="O57" s="130"/>
      <x:c r="P57" s="130"/>
      <x:c r="Q57" s="130"/>
      <x:c r="R57" s="130"/>
      <x:c r="S57" s="130"/>
      <x:c r="T57" s="130"/>
      <x:c r="U57" s="130"/>
      <x:c r="V57" s="130"/>
      <x:c r="W57" s="130"/>
      <x:c r="X57" s="130"/>
      <x:c r="Y57" s="130"/>
      <x:c r="Z57" s="130"/>
      <x:c r="AA57" s="130"/>
      <x:c r="AB57" s="130"/>
      <x:c r="AC57" s="130"/>
      <x:c r="AD57" s="130"/>
      <x:c r="AE57" s="130"/>
      <x:c r="AF57" s="130"/>
      <x:c r="AG57" s="130"/>
      <x:c r="AH57" s="130"/>
      <x:c r="AI57" s="130"/>
      <x:c r="AJ57" s="130"/>
      <x:c r="AK57" s="130"/>
      <x:c r="AL57" s="130"/>
      <x:c r="AM57" s="130"/>
      <x:c r="AN57" s="130"/>
      <x:c r="AO57" s="130"/>
      <x:c r="AP57" s="130"/>
      <x:c r="AQ57" s="130"/>
      <x:c r="AR57" s="130"/>
      <x:c r="AS57" s="130"/>
      <x:c r="AT57" s="130"/>
      <x:c r="AU57" s="130"/>
      <x:c r="AV57" s="130"/>
      <x:c r="AW57" s="130"/>
      <x:c r="AX57" s="130"/>
      <x:c r="AY57" s="130"/>
      <x:c r="AZ57" s="130"/>
    </x:row>
    <x:row r="58">
      <x:c r="A58" s="130"/>
      <x:c r="B58" s="130"/>
      <x:c r="C58" s="130"/>
      <x:c r="D58" s="130"/>
      <x:c r="E58" s="130"/>
      <x:c r="F58" s="130"/>
      <x:c r="G58" s="130"/>
      <x:c r="H58" s="130"/>
      <x:c r="I58" s="130"/>
      <x:c r="J58" s="130"/>
      <x:c r="K58" s="130"/>
      <x:c r="L58" s="130"/>
      <x:c r="M58" s="130"/>
      <x:c r="N58" s="130"/>
      <x:c r="O58" s="130"/>
      <x:c r="P58" s="130"/>
      <x:c r="Q58" s="130"/>
      <x:c r="R58" s="130"/>
      <x:c r="S58" s="130"/>
      <x:c r="T58" s="130"/>
      <x:c r="U58" s="130"/>
      <x:c r="V58" s="130"/>
      <x:c r="W58" s="130"/>
      <x:c r="X58" s="130"/>
      <x:c r="Y58" s="130"/>
      <x:c r="Z58" s="130"/>
      <x:c r="AA58" s="130"/>
      <x:c r="AB58" s="130"/>
      <x:c r="AC58" s="130"/>
      <x:c r="AD58" s="130"/>
      <x:c r="AE58" s="130"/>
      <x:c r="AF58" s="130"/>
      <x:c r="AG58" s="130"/>
      <x:c r="AH58" s="130"/>
      <x:c r="AI58" s="130"/>
      <x:c r="AJ58" s="130"/>
      <x:c r="AK58" s="130"/>
      <x:c r="AL58" s="130"/>
      <x:c r="AM58" s="130"/>
      <x:c r="AN58" s="130"/>
      <x:c r="AO58" s="130"/>
      <x:c r="AP58" s="130"/>
      <x:c r="AQ58" s="130"/>
      <x:c r="AR58" s="130"/>
      <x:c r="AS58" s="130"/>
      <x:c r="AT58" s="130"/>
      <x:c r="AU58" s="130"/>
      <x:c r="AV58" s="130"/>
      <x:c r="AW58" s="130"/>
      <x:c r="AX58" s="130"/>
      <x:c r="AY58" s="130"/>
      <x:c r="AZ58" s="130"/>
    </x:row>
    <x:row r="59">
      <x:c r="A59" s="130"/>
      <x:c r="B59" s="130"/>
      <x:c r="C59" s="130"/>
      <x:c r="D59" s="130"/>
      <x:c r="E59" s="130"/>
      <x:c r="F59" s="130"/>
      <x:c r="G59" s="130"/>
      <x:c r="H59" s="130"/>
      <x:c r="I59" s="130"/>
      <x:c r="J59" s="130"/>
      <x:c r="K59" s="130"/>
      <x:c r="L59" s="130"/>
      <x:c r="M59" s="130"/>
      <x:c r="N59" s="130"/>
      <x:c r="O59" s="130"/>
      <x:c r="P59" s="130"/>
      <x:c r="Q59" s="130"/>
      <x:c r="R59" s="130"/>
      <x:c r="S59" s="130"/>
      <x:c r="T59" s="130"/>
      <x:c r="U59" s="130"/>
      <x:c r="V59" s="130"/>
      <x:c r="W59" s="130"/>
      <x:c r="X59" s="130"/>
      <x:c r="Y59" s="130"/>
      <x:c r="Z59" s="130"/>
      <x:c r="AA59" s="130"/>
      <x:c r="AB59" s="130"/>
      <x:c r="AC59" s="130"/>
      <x:c r="AD59" s="130"/>
      <x:c r="AE59" s="130"/>
      <x:c r="AF59" s="130"/>
      <x:c r="AG59" s="130"/>
      <x:c r="AH59" s="130"/>
      <x:c r="AI59" s="130"/>
      <x:c r="AJ59" s="130"/>
      <x:c r="AK59" s="130"/>
      <x:c r="AL59" s="130"/>
      <x:c r="AM59" s="130"/>
      <x:c r="AN59" s="130"/>
      <x:c r="AO59" s="130"/>
      <x:c r="AP59" s="130"/>
      <x:c r="AQ59" s="130"/>
      <x:c r="AR59" s="130"/>
      <x:c r="AS59" s="130"/>
      <x:c r="AT59" s="130"/>
      <x:c r="AU59" s="130"/>
      <x:c r="AV59" s="130"/>
      <x:c r="AW59" s="130"/>
      <x:c r="AX59" s="130"/>
      <x:c r="AY59" s="130"/>
      <x:c r="AZ59" s="130"/>
    </x:row>
    <x:row r="60">
      <x:c r="A60" s="130"/>
      <x:c r="B60" s="130"/>
      <x:c r="C60" s="130"/>
      <x:c r="D60" s="130"/>
      <x:c r="E60" s="130"/>
      <x:c r="F60" s="130"/>
      <x:c r="G60" s="130"/>
      <x:c r="H60" s="130"/>
      <x:c r="I60" s="130"/>
      <x:c r="J60" s="130"/>
      <x:c r="K60" s="130"/>
      <x:c r="L60" s="130"/>
      <x:c r="M60" s="130"/>
      <x:c r="N60" s="130"/>
      <x:c r="O60" s="130"/>
      <x:c r="P60" s="130"/>
      <x:c r="Q60" s="130"/>
      <x:c r="R60" s="130"/>
      <x:c r="S60" s="130"/>
      <x:c r="T60" s="130"/>
      <x:c r="U60" s="130"/>
      <x:c r="V60" s="130"/>
      <x:c r="W60" s="130"/>
      <x:c r="X60" s="130"/>
      <x:c r="Y60" s="130"/>
      <x:c r="Z60" s="130"/>
      <x:c r="AA60" s="130"/>
      <x:c r="AB60" s="130"/>
      <x:c r="AC60" s="130"/>
      <x:c r="AD60" s="130"/>
      <x:c r="AE60" s="130"/>
      <x:c r="AF60" s="130"/>
      <x:c r="AG60" s="130"/>
      <x:c r="AH60" s="130"/>
      <x:c r="AI60" s="130"/>
      <x:c r="AJ60" s="130"/>
      <x:c r="AK60" s="130"/>
      <x:c r="AL60" s="130"/>
      <x:c r="AM60" s="130"/>
      <x:c r="AN60" s="130"/>
      <x:c r="AO60" s="130"/>
      <x:c r="AP60" s="130"/>
      <x:c r="AQ60" s="130"/>
      <x:c r="AR60" s="130"/>
      <x:c r="AS60" s="130"/>
      <x:c r="AT60" s="130"/>
      <x:c r="AU60" s="130"/>
      <x:c r="AV60" s="130"/>
      <x:c r="AW60" s="130"/>
      <x:c r="AX60" s="130"/>
      <x:c r="AY60" s="130"/>
      <x:c r="AZ60" s="130"/>
    </x:row>
  </x:sheetData>
  <x:mergeCells>
    <x:mergeCell ref="A1:AT2"/>
  </x:mergeCells>
  <x:conditionalFormatting sqref="AN5:AN20">
    <x:cfRule type="colorScale" priority="1">
      <x:colorScale>
        <x:cfvo type="min"/>
        <x:cfvo type="percentile" val="50"/>
        <x:cfvo type="max"/>
        <x:color rgb="FFF7C9C9"/>
        <x:color rgb="FFFFF0B3"/>
        <x:color rgb="FFCDEBCF"/>
      </x:colorScale>
    </x:cfRule>
  </x:conditionalFormatting>
  <x:pageMargins left="0.7" right="0.7" top="0.75" bottom="0.75" header="0.3" footer="0.3"/>
  <x:tableParts count="1">
    <x:tablePart xmlns:r="http://schemas.openxmlformats.org/officeDocument/2006/relationships" r:id="R095cdba6376240cb"/>
  </x:tableParts>
</x:worksheet>
</file>

<file path=xl/worksheets/sheet7.xml><?xml version="1.0" encoding="utf-8"?>
<x:worksheet xmlns:x="http://schemas.openxmlformats.org/spreadsheetml/2006/main">
  <x:sheetFormatPr defaultRowHeight="15"/>
  <x:cols>
    <x:col min="1" max="1" width="26" hidden="0" customWidth="1"/>
    <x:col min="2" max="2" width="26" hidden="0" customWidth="1"/>
    <x:col min="3" max="3" width="26" hidden="0" customWidth="1"/>
    <x:col min="4" max="4" width="26"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40" hidden="0" customWidth="1"/>
    <x:col min="33" max="33" width="40" hidden="0" customWidth="1"/>
  </x:cols>
  <x:sheetData>
    <x:row r="1">
      <x:c r="A1" s="5" t="str">
        <x:v>Tableau-ready wide table</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130"/>
      <x:c r="AG1" s="130"/>
      <x:c r="AH1" s="130"/>
      <x:c r="AI1" s="130"/>
      <x:c r="AJ1" s="130"/>
      <x:c r="AK1" s="130"/>
      <x:c r="AL1" s="130"/>
      <x:c r="AM1" s="130"/>
      <x:c r="AN1" s="130"/>
      <x:c r="AO1" s="130"/>
      <x:c r="AP1" s="130"/>
      <x:c r="AQ1" s="130"/>
      <x:c r="AR1" s="130"/>
      <x:c r="AS1" s="130"/>
      <x:c r="AT1" s="130"/>
      <x:c r="AU1" s="130"/>
      <x:c r="AV1" s="130"/>
      <x:c r="AW1" s="130"/>
      <x:c r="AX1" s="130"/>
      <x:c r="AY1" s="130"/>
      <x:c r="AZ1" s="130"/>
    </x:row>
    <x:row r="2">
      <x:c r="A2" s="5"/>
      <x:c r="B2" s="5"/>
      <x:c r="C2" s="5"/>
      <x:c r="D2" s="5"/>
      <x:c r="E2" s="5"/>
      <x:c r="F2" s="5"/>
      <x:c r="G2" s="5"/>
      <x:c r="H2" s="5"/>
      <x:c r="I2" s="5"/>
      <x:c r="J2" s="5"/>
      <x:c r="K2" s="5"/>
      <x:c r="L2" s="5"/>
      <x:c r="M2" s="5"/>
      <x:c r="N2" s="5"/>
      <x:c r="O2" s="5"/>
      <x:c r="P2" s="5"/>
      <x:c r="Q2" s="5"/>
      <x:c r="R2" s="5"/>
      <x:c r="S2" s="5"/>
      <x:c r="T2" s="5"/>
      <x:c r="U2" s="5"/>
      <x:c r="V2" s="5"/>
      <x:c r="W2" s="5"/>
      <x:c r="X2" s="5"/>
      <x:c r="Y2" s="5"/>
      <x:c r="Z2" s="5"/>
      <x:c r="AA2" s="5"/>
      <x:c r="AB2" s="5"/>
      <x:c r="AC2" s="5"/>
      <x:c r="AD2" s="5"/>
      <x:c r="AE2" s="5"/>
      <x:c r="AF2" s="130"/>
      <x:c r="AG2" s="130"/>
      <x:c r="AH2" s="130"/>
      <x:c r="AI2" s="130"/>
      <x:c r="AJ2" s="130"/>
      <x:c r="AK2" s="130"/>
      <x:c r="AL2" s="130"/>
      <x:c r="AM2" s="130"/>
      <x:c r="AN2" s="130"/>
      <x:c r="AO2" s="130"/>
      <x:c r="AP2" s="130"/>
      <x:c r="AQ2" s="130"/>
      <x:c r="AR2" s="130"/>
      <x:c r="AS2" s="130"/>
      <x:c r="AT2" s="130"/>
      <x:c r="AU2" s="130"/>
      <x:c r="AV2" s="130"/>
      <x:c r="AW2" s="130"/>
      <x:c r="AX2" s="130"/>
      <x:c r="AY2" s="130"/>
      <x:c r="AZ2" s="130"/>
    </x:row>
    <x:row r="3">
      <x:c r="A3" s="130"/>
      <x:c r="B3" s="130"/>
      <x:c r="C3" s="130"/>
      <x:c r="D3" s="130"/>
      <x:c r="E3" s="130"/>
      <x:c r="F3" s="130"/>
      <x:c r="G3" s="130"/>
      <x:c r="H3" s="130"/>
      <x:c r="I3" s="130"/>
      <x:c r="J3" s="130"/>
      <x:c r="K3" s="130"/>
      <x:c r="L3" s="130"/>
      <x:c r="M3" s="130"/>
      <x:c r="N3" s="130"/>
      <x:c r="O3" s="130"/>
      <x:c r="P3" s="130"/>
      <x:c r="Q3" s="130"/>
      <x:c r="R3" s="130"/>
      <x:c r="S3" s="130"/>
      <x:c r="T3" s="130"/>
      <x:c r="U3" s="130"/>
      <x:c r="V3" s="130"/>
      <x:c r="W3" s="130"/>
      <x:c r="X3" s="130"/>
      <x:c r="Y3" s="130"/>
      <x:c r="Z3" s="130"/>
      <x:c r="AA3" s="130"/>
      <x:c r="AB3" s="130"/>
      <x:c r="AC3" s="130"/>
      <x:c r="AD3" s="130"/>
      <x:c r="AE3" s="130"/>
      <x:c r="AF3" s="130"/>
      <x:c r="AG3" s="130"/>
      <x:c r="AH3" s="130"/>
      <x:c r="AI3" s="130"/>
      <x:c r="AJ3" s="130"/>
      <x:c r="AK3" s="130"/>
      <x:c r="AL3" s="130"/>
      <x:c r="AM3" s="130"/>
      <x:c r="AN3" s="130"/>
      <x:c r="AO3" s="130"/>
      <x:c r="AP3" s="130"/>
      <x:c r="AQ3" s="130"/>
      <x:c r="AR3" s="130"/>
      <x:c r="AS3" s="130"/>
      <x:c r="AT3" s="130"/>
      <x:c r="AU3" s="130"/>
      <x:c r="AV3" s="130"/>
      <x:c r="AW3" s="130"/>
      <x:c r="AX3" s="130"/>
      <x:c r="AY3" s="130"/>
      <x:c r="AZ3" s="130"/>
    </x:row>
    <x:row r="4">
      <x:c r="A4" s="32" t="str">
        <x:v>Context_ID</x:v>
      </x:c>
      <x:c r="B4" s="32" t="str">
        <x:v>Site_Context</x:v>
      </x:c>
      <x:c r="C4" s="32" t="str">
        <x:v>Strategy_ID</x:v>
      </x:c>
      <x:c r="D4" s="32" t="str">
        <x:v>Strategy</x:v>
      </x:c>
      <x:c r="E4" s="32" t="str">
        <x:v>Working_Days</x:v>
      </x:c>
      <x:c r="F4" s="32" t="str">
        <x:v>Shift_Hours</x:v>
      </x:c>
      <x:c r="G4" s="32" t="str">
        <x:v>Idle_Percent</x:v>
      </x:c>
      <x:c r="H4" s="32" t="str">
        <x:v>Grid_Availability</x:v>
      </x:c>
      <x:c r="I4" s="32" t="str">
        <x:v>Grid_Carbon_kgCO2e_per_kWh</x:v>
      </x:c>
      <x:c r="J4" s="32" t="str">
        <x:v>Diesel_Price_GBP_per_L</x:v>
      </x:c>
      <x:c r="K4" s="32" t="str">
        <x:v>Electricity_Price_GBP_per_kWh</x:v>
      </x:c>
      <x:c r="L4" s="32" t="str">
        <x:v>Noise_Sensitivity</x:v>
      </x:c>
      <x:c r="M4" s="32" t="str">
        <x:v>Community_Sensitivity</x:v>
      </x:c>
      <x:c r="N4" s="32" t="str">
        <x:v>Plant_Diesel_L</x:v>
      </x:c>
      <x:c r="O4" s="32" t="str">
        <x:v>Temporary_Power_Diesel_L</x:v>
      </x:c>
      <x:c r="P4" s="32" t="str">
        <x:v>Grid_Electricity_kWh</x:v>
      </x:c>
      <x:c r="Q4" s="32" t="str">
        <x:v>Operational_CO2e_kg</x:v>
      </x:c>
      <x:c r="R4" s="32" t="str">
        <x:v>Expanded_Energy_CO2e_kg</x:v>
      </x:c>
      <x:c r="S4" s="32" t="str">
        <x:v>Carbon_Reduction_vs_Baseline</x:v>
      </x:c>
      <x:c r="T4" s="32" t="str">
        <x:v>Energy_Cost_GBP</x:v>
      </x:c>
      <x:c r="U4" s="32" t="str">
        <x:v>Hire_and_Power_Cost_GBP</x:v>
      </x:c>
      <x:c r="V4" s="32" t="str">
        <x:v>Total_Cost_GBP</x:v>
      </x:c>
      <x:c r="W4" s="32" t="str">
        <x:v>Productivity_Index</x:v>
      </x:c>
      <x:c r="X4" s="32" t="str">
        <x:v>Expected_Downtime_h_per_day</x:v>
      </x:c>
      <x:c r="Y4" s="32" t="str">
        <x:v>Exhaust_NOx_Index</x:v>
      </x:c>
      <x:c r="Z4" s="32" t="str">
        <x:v>Exhaust_PM_Index</x:v>
      </x:c>
      <x:c r="AA4" s="32" t="str">
        <x:v>Noise_Index</x:v>
      </x:c>
      <x:c r="AB4" s="32" t="str">
        <x:v>Air_Quality_Benefit_Index</x:v>
      </x:c>
      <x:c r="AC4" s="32" t="str">
        <x:v>Noise_Benefit_Index</x:v>
      </x:c>
      <x:c r="AD4" s="32" t="str">
        <x:v>Daily_Plant_Electricity_kWh</x:v>
      </x:c>
      <x:c r="AE4" s="32" t="str">
        <x:v>Battery_Charges_per_Day</x:v>
      </x:c>
      <x:c r="AF4" s="32" t="str">
        <x:v>Data_Quality_Note</x:v>
      </x:c>
      <x:c r="AG4" s="32" t="str">
        <x:v>Scenario_Note</x:v>
      </x:c>
      <x:c r="AH4" s="130"/>
      <x:c r="AI4" s="130"/>
      <x:c r="AJ4" s="130"/>
      <x:c r="AK4" s="130"/>
      <x:c r="AL4" s="130"/>
      <x:c r="AM4" s="130"/>
      <x:c r="AN4" s="130"/>
      <x:c r="AO4" s="130"/>
      <x:c r="AP4" s="130"/>
      <x:c r="AQ4" s="130"/>
      <x:c r="AR4" s="130"/>
      <x:c r="AS4" s="130"/>
      <x:c r="AT4" s="130"/>
      <x:c r="AU4" s="130"/>
      <x:c r="AV4" s="130"/>
      <x:c r="AW4" s="130"/>
      <x:c r="AX4" s="130"/>
      <x:c r="AY4" s="130"/>
      <x:c r="AZ4" s="130"/>
    </x:row>
    <x:row r="5">
      <x:c r="A5" s="134" t="str">
        <x:f>Model!A5</x:f>
        <x:v>C1</x:v>
      </x:c>
      <x:c r="B5" s="134" t="str">
        <x:f>Model!B5</x:f>
        <x:v>Urban site near a school</x:v>
      </x:c>
      <x:c r="C5" s="134" t="str">
        <x:f>Model!C5</x:f>
        <x:v>S1</x:v>
      </x:c>
      <x:c r="D5" s="134" t="str">
        <x:f>Model!D5</x:f>
        <x:v>Conventional diesel plant + diesel generator</x:v>
      </x:c>
      <x:c r="E5" s="134" t="n">
        <x:f>Model!E5</x:f>
        <x:v>30</x:v>
      </x:c>
      <x:c r="F5" s="134" t="n">
        <x:f>Model!F5</x:f>
        <x:v>7</x:v>
      </x:c>
      <x:c r="G5" s="142" t="n">
        <x:f>Model!G5</x:f>
        <x:v>0.2</x:v>
      </x:c>
      <x:c r="H5" s="134" t="str">
        <x:f>Model!I5</x:f>
        <x:v>Available</x:v>
      </x:c>
      <x:c r="I5" s="152" t="n">
        <x:f>Model!J5</x:f>
        <x:v>0.13096</x:v>
      </x:c>
      <x:c r="J5" s="144" t="n">
        <x:f>Model!K5</x:f>
        <x:v>1.55</x:v>
      </x:c>
      <x:c r="K5" s="144" t="n">
        <x:f>Model!L5</x:f>
        <x:v>0.25</x:v>
      </x:c>
      <x:c r="L5" s="134" t="str">
        <x:f>Model!M5</x:f>
        <x:v>High</x:v>
      </x:c>
      <x:c r="M5" s="134" t="str">
        <x:f>Model!N5</x:f>
        <x:v>High</x:v>
      </x:c>
      <x:c r="N5" s="153" t="n">
        <x:f>Model!AE5</x:f>
        <x:v>584.64</x:v>
      </x:c>
      <x:c r="O5" s="153" t="n">
        <x:f>Model!AF5</x:f>
        <x:v>180</x:v>
      </x:c>
      <x:c r="P5" s="153" t="n">
        <x:f>Model!AG5</x:f>
        <x:v>0</x:v>
      </x:c>
      <x:c r="Q5" s="153" t="n">
        <x:f>Model!AI5</x:f>
        <x:v>1975.4780256000001</x:v>
      </x:c>
      <x:c r="R5" s="153" t="n">
        <x:f>Model!AJ5</x:f>
        <x:v>2442.6807120000003</x:v>
      </x:c>
      <x:c r="S5" s="154" t="n">
        <x:f>Model!AN5</x:f>
        <x:v>0</x:v>
      </x:c>
      <x:c r="T5" s="158" t="n">
        <x:f>Model!AK5</x:f>
        <x:v>1185.192</x:v>
      </x:c>
      <x:c r="U5" s="158" t="n">
        <x:f>Model!AL5</x:f>
        <x:v>7200</x:v>
      </x:c>
      <x:c r="V5" s="158" t="n">
        <x:f>Model!AM5</x:f>
        <x:v>8385.192</x:v>
      </x:c>
      <x:c r="W5" s="135" t="n">
        <x:f>Model!X5</x:f>
        <x:v>100</x:v>
      </x:c>
      <x:c r="X5" s="135" t="n">
        <x:f>Model!Y5</x:f>
        <x:v>0.1</x:v>
      </x:c>
      <x:c r="Y5" s="135" t="n">
        <x:f>Model!Z5</x:f>
        <x:v>100</x:v>
      </x:c>
      <x:c r="Z5" s="135" t="n">
        <x:f>Model!AA5</x:f>
        <x:v>100</x:v>
      </x:c>
      <x:c r="AA5" s="135" t="n">
        <x:f>Model!AB5</x:f>
        <x:v>100</x:v>
      </x:c>
      <x:c r="AB5" s="135" t="n">
        <x:f>Model!AQ5</x:f>
        <x:v>0</x:v>
      </x:c>
      <x:c r="AC5" s="135" t="n">
        <x:f>Model!AR5</x:f>
        <x:v>0</x:v>
      </x:c>
      <x:c r="AD5" s="135" t="n">
        <x:f>Model!AO5</x:f>
        <x:v>0</x:v>
      </x:c>
      <x:c r="AE5" s="135" t="n">
        <x:f>Model!AP5</x:f>
        <x:v>0</x:v>
      </x:c>
      <x:c r="AF5" s="145" t="str">
        <x:f>Model!AS5</x:f>
        <x:v>Teaching assumptions; official carbon factors applied</x:v>
      </x:c>
      <x:c r="AG5" s="145" t="str">
        <x:f>Model!AT5</x:f>
        <x:v>Urban site with strong air-quality and noise concerns; suitable grid connection. | Represents a traditional site-energy arrangement.</x:v>
      </x:c>
      <x:c r="AH5" s="130"/>
      <x:c r="AI5" s="130"/>
      <x:c r="AJ5" s="130"/>
      <x:c r="AK5" s="130"/>
      <x:c r="AL5" s="130"/>
      <x:c r="AM5" s="130"/>
      <x:c r="AN5" s="130"/>
      <x:c r="AO5" s="130"/>
      <x:c r="AP5" s="130"/>
      <x:c r="AQ5" s="130"/>
      <x:c r="AR5" s="130"/>
      <x:c r="AS5" s="130"/>
      <x:c r="AT5" s="130"/>
      <x:c r="AU5" s="130"/>
      <x:c r="AV5" s="130"/>
      <x:c r="AW5" s="130"/>
      <x:c r="AX5" s="130"/>
      <x:c r="AY5" s="130"/>
      <x:c r="AZ5" s="130"/>
    </x:row>
    <x:row r="6">
      <x:c r="A6" s="134" t="str">
        <x:f>Model!A6</x:f>
        <x:v>C1</x:v>
      </x:c>
      <x:c r="B6" s="134" t="str">
        <x:f>Model!B6</x:f>
        <x:v>Urban site near a school</x:v>
      </x:c>
      <x:c r="C6" s="134" t="str">
        <x:f>Model!C6</x:f>
        <x:v>S2</x:v>
      </x:c>
      <x:c r="D6" s="134" t="str">
        <x:f>Model!D6</x:f>
        <x:v>Stage V diesel + anti-idling + right-sized generator</x:v>
      </x:c>
      <x:c r="E6" s="134" t="n">
        <x:f>Model!E6</x:f>
        <x:v>30</x:v>
      </x:c>
      <x:c r="F6" s="134" t="n">
        <x:f>Model!F6</x:f>
        <x:v>7</x:v>
      </x:c>
      <x:c r="G6" s="142" t="n">
        <x:f>Model!G6</x:f>
        <x:v>0.2</x:v>
      </x:c>
      <x:c r="H6" s="134" t="str">
        <x:f>Model!I6</x:f>
        <x:v>Available</x:v>
      </x:c>
      <x:c r="I6" s="152" t="n">
        <x:f>Model!J6</x:f>
        <x:v>0.13096</x:v>
      </x:c>
      <x:c r="J6" s="144" t="n">
        <x:f>Model!K6</x:f>
        <x:v>1.55</x:v>
      </x:c>
      <x:c r="K6" s="144" t="n">
        <x:f>Model!L6</x:f>
        <x:v>0.25</x:v>
      </x:c>
      <x:c r="L6" s="134" t="str">
        <x:f>Model!M6</x:f>
        <x:v>High</x:v>
      </x:c>
      <x:c r="M6" s="134" t="str">
        <x:f>Model!N6</x:f>
        <x:v>High</x:v>
      </x:c>
      <x:c r="N6" s="153" t="n">
        <x:f>Model!AE6</x:f>
        <x:v>488.03999999999996</x:v>
      </x:c>
      <x:c r="O6" s="153" t="n">
        <x:f>Model!AF6</x:f>
        <x:v>144</x:v>
      </x:c>
      <x:c r="P6" s="153" t="n">
        <x:f>Model!AG6</x:f>
        <x:v>0</x:v>
      </x:c>
      <x:c r="Q6" s="153" t="n">
        <x:f>Model!AI6</x:f>
        <x:v>1632.9006216</x:v>
      </x:c>
      <x:c r="R6" s="153" t="n">
        <x:f>Model!AJ6</x:f>
        <x:v>2019.0833820000003</x:v>
      </x:c>
      <x:c r="S6" s="154" t="n">
        <x:f>Model!AN6</x:f>
        <x:v>0.173414940364093</x:v>
      </x:c>
      <x:c r="T6" s="158" t="n">
        <x:f>Model!AK6</x:f>
        <x:v>979.6619999999999</x:v>
      </x:c>
      <x:c r="U6" s="158" t="n">
        <x:f>Model!AL6</x:f>
        <x:v>7650</x:v>
      </x:c>
      <x:c r="V6" s="158" t="n">
        <x:f>Model!AM6</x:f>
        <x:v>8629.662</x:v>
      </x:c>
      <x:c r="W6" s="135" t="n">
        <x:f>Model!X6</x:f>
        <x:v>100</x:v>
      </x:c>
      <x:c r="X6" s="135" t="n">
        <x:f>Model!Y6</x:f>
        <x:v>0.1</x:v>
      </x:c>
      <x:c r="Y6" s="135" t="n">
        <x:f>Model!Z6</x:f>
        <x:v>35</x:v>
      </x:c>
      <x:c r="Z6" s="135" t="n">
        <x:f>Model!AA6</x:f>
        <x:v>25</x:v>
      </x:c>
      <x:c r="AA6" s="135" t="n">
        <x:f>Model!AB6</x:f>
        <x:v>95</x:v>
      </x:c>
      <x:c r="AB6" s="135" t="n">
        <x:f>Model!AQ6</x:f>
        <x:v>70</x:v>
      </x:c>
      <x:c r="AC6" s="135" t="n">
        <x:f>Model!AR6</x:f>
        <x:v>5</x:v>
      </x:c>
      <x:c r="AD6" s="135" t="n">
        <x:f>Model!AO6</x:f>
        <x:v>0</x:v>
      </x:c>
      <x:c r="AE6" s="135" t="n">
        <x:f>Model!AP6</x:f>
        <x:v>0</x:v>
      </x:c>
      <x:c r="AF6" s="145" t="str">
        <x:f>Model!AS6</x:f>
        <x:v>Teaching assumptions; official carbon factors applied</x:v>
      </x:c>
      <x:c r="AG6" s="145" t="str">
        <x:f>Model!AT6</x:f>
        <x:v>Urban site with strong air-quality and noise concerns; suitable grid connection. | Tests efficiency before full electrification.</x:v>
      </x:c>
      <x:c r="AH6" s="130"/>
      <x:c r="AI6" s="130"/>
      <x:c r="AJ6" s="130"/>
      <x:c r="AK6" s="130"/>
      <x:c r="AL6" s="130"/>
      <x:c r="AM6" s="130"/>
      <x:c r="AN6" s="130"/>
      <x:c r="AO6" s="130"/>
      <x:c r="AP6" s="130"/>
      <x:c r="AQ6" s="130"/>
      <x:c r="AR6" s="130"/>
      <x:c r="AS6" s="130"/>
      <x:c r="AT6" s="130"/>
      <x:c r="AU6" s="130"/>
      <x:c r="AV6" s="130"/>
      <x:c r="AW6" s="130"/>
      <x:c r="AX6" s="130"/>
      <x:c r="AY6" s="130"/>
      <x:c r="AZ6" s="130"/>
    </x:row>
    <x:row r="7">
      <x:c r="A7" s="134" t="str">
        <x:f>Model!A7</x:f>
        <x:v>C1</x:v>
      </x:c>
      <x:c r="B7" s="134" t="str">
        <x:f>Model!B7</x:f>
        <x:v>Urban site near a school</x:v>
      </x:c>
      <x:c r="C7" s="134" t="str">
        <x:f>Model!C7</x:f>
        <x:v>S3</x:v>
      </x:c>
      <x:c r="D7" s="134" t="str">
        <x:f>Model!D7</x:f>
        <x:v>Grid-connected electric plant</x:v>
      </x:c>
      <x:c r="E7" s="134" t="n">
        <x:f>Model!E7</x:f>
        <x:v>30</x:v>
      </x:c>
      <x:c r="F7" s="134" t="n">
        <x:f>Model!F7</x:f>
        <x:v>7</x:v>
      </x:c>
      <x:c r="G7" s="142" t="n">
        <x:f>Model!G7</x:f>
        <x:v>0.2</x:v>
      </x:c>
      <x:c r="H7" s="134" t="str">
        <x:f>Model!I7</x:f>
        <x:v>Available</x:v>
      </x:c>
      <x:c r="I7" s="152" t="n">
        <x:f>Model!J7</x:f>
        <x:v>0.13096</x:v>
      </x:c>
      <x:c r="J7" s="144" t="n">
        <x:f>Model!K7</x:f>
        <x:v>1.55</x:v>
      </x:c>
      <x:c r="K7" s="144" t="n">
        <x:f>Model!L7</x:f>
        <x:v>0.25</x:v>
      </x:c>
      <x:c r="L7" s="134" t="str">
        <x:f>Model!M7</x:f>
        <x:v>High</x:v>
      </x:c>
      <x:c r="M7" s="134" t="str">
        <x:f>Model!N7</x:f>
        <x:v>High</x:v>
      </x:c>
      <x:c r="N7" s="153" t="n">
        <x:f>Model!AE7</x:f>
        <x:v>0</x:v>
      </x:c>
      <x:c r="O7" s="153" t="n">
        <x:f>Model!AF7</x:f>
        <x:v>0</x:v>
      </x:c>
      <x:c r="P7" s="153" t="n">
        <x:f>Model!AG7</x:f>
        <x:v>1223.0763000000002</x:v>
      </x:c>
      <x:c r="Q7" s="153" t="n">
        <x:f>Model!AI7</x:f>
        <x:v>160.17407224800002</x:v>
      </x:c>
      <x:c r="R7" s="153" t="n">
        <x:f>Model!AJ7</x:f>
        <x:v>221.09550275100003</x:v>
      </x:c>
      <x:c r="S7" s="154" t="n">
        <x:f>Model!AN7</x:f>
        <x:v>0.9189188286721887</x:v>
      </x:c>
      <x:c r="T7" s="158" t="n">
        <x:f>Model!AK7</x:f>
        <x:v>305.76907500000004</x:v>
      </x:c>
      <x:c r="U7" s="158" t="n">
        <x:f>Model!AL7</x:f>
        <x:v>8700</x:v>
      </x:c>
      <x:c r="V7" s="158" t="n">
        <x:f>Model!AM7</x:f>
        <x:v>9005.769075</x:v>
      </x:c>
      <x:c r="W7" s="135" t="n">
        <x:f>Model!X7</x:f>
        <x:v>97</x:v>
      </x:c>
      <x:c r="X7" s="135" t="n">
        <x:f>Model!Y7</x:f>
        <x:v>0.5</x:v>
      </x:c>
      <x:c r="Y7" s="135" t="n">
        <x:f>Model!Z7</x:f>
        <x:v>0</x:v>
      </x:c>
      <x:c r="Z7" s="135" t="n">
        <x:f>Model!AA7</x:f>
        <x:v>0</x:v>
      </x:c>
      <x:c r="AA7" s="135" t="n">
        <x:f>Model!AB7</x:f>
        <x:v>55</x:v>
      </x:c>
      <x:c r="AB7" s="135" t="n">
        <x:f>Model!AQ7</x:f>
        <x:v>100</x:v>
      </x:c>
      <x:c r="AC7" s="135" t="n">
        <x:f>Model!AR7</x:f>
        <x:v>45</x:v>
      </x:c>
      <x:c r="AD7" s="135" t="n">
        <x:f>Model!AO7</x:f>
        <x:v>20.769210000000005</x:v>
      </x:c>
      <x:c r="AE7" s="135" t="n">
        <x:f>Model!AP7</x:f>
        <x:v>1</x:v>
      </x:c>
      <x:c r="AF7" s="145" t="str">
        <x:f>Model!AS7</x:f>
        <x:v>Manufacturer-informed electricity use; teaching cost assumptions</x:v>
      </x:c>
      <x:c r="AG7" s="145" t="str">
        <x:f>Model!AT7</x:f>
        <x:v>Urban site with strong air-quality and noise concerns; suitable grid connection. | Uses a 20 kWh battery and an indicative six-hour runtime.</x:v>
      </x:c>
      <x:c r="AH7" s="130"/>
      <x:c r="AI7" s="130"/>
      <x:c r="AJ7" s="130"/>
      <x:c r="AK7" s="130"/>
      <x:c r="AL7" s="130"/>
      <x:c r="AM7" s="130"/>
      <x:c r="AN7" s="130"/>
      <x:c r="AO7" s="130"/>
      <x:c r="AP7" s="130"/>
      <x:c r="AQ7" s="130"/>
      <x:c r="AR7" s="130"/>
      <x:c r="AS7" s="130"/>
      <x:c r="AT7" s="130"/>
      <x:c r="AU7" s="130"/>
      <x:c r="AV7" s="130"/>
      <x:c r="AW7" s="130"/>
      <x:c r="AX7" s="130"/>
      <x:c r="AY7" s="130"/>
      <x:c r="AZ7" s="130"/>
    </x:row>
    <x:row r="8">
      <x:c r="A8" s="134" t="str">
        <x:f>Model!A8</x:f>
        <x:v>C1</x:v>
      </x:c>
      <x:c r="B8" s="134" t="str">
        <x:f>Model!B8</x:f>
        <x:v>Urban site near a school</x:v>
      </x:c>
      <x:c r="C8" s="134" t="str">
        <x:f>Model!C8</x:f>
        <x:v>S4</x:v>
      </x:c>
      <x:c r="D8" s="134" t="str">
        <x:f>Model!D8</x:f>
        <x:v>Electric plant + battery storage + smart charging</x:v>
      </x:c>
      <x:c r="E8" s="134" t="n">
        <x:f>Model!E8</x:f>
        <x:v>30</x:v>
      </x:c>
      <x:c r="F8" s="134" t="n">
        <x:f>Model!F8</x:f>
        <x:v>7</x:v>
      </x:c>
      <x:c r="G8" s="142" t="n">
        <x:f>Model!G8</x:f>
        <x:v>0.2</x:v>
      </x:c>
      <x:c r="H8" s="134" t="str">
        <x:f>Model!I8</x:f>
        <x:v>Available</x:v>
      </x:c>
      <x:c r="I8" s="152" t="n">
        <x:f>Model!J8</x:f>
        <x:v>0.13096</x:v>
      </x:c>
      <x:c r="J8" s="144" t="n">
        <x:f>Model!K8</x:f>
        <x:v>1.55</x:v>
      </x:c>
      <x:c r="K8" s="144" t="n">
        <x:f>Model!L8</x:f>
        <x:v>0.25</x:v>
      </x:c>
      <x:c r="L8" s="134" t="str">
        <x:f>Model!M8</x:f>
        <x:v>High</x:v>
      </x:c>
      <x:c r="M8" s="134" t="str">
        <x:f>Model!N8</x:f>
        <x:v>High</x:v>
      </x:c>
      <x:c r="N8" s="153" t="n">
        <x:f>Model!AE8</x:f>
        <x:v>0</x:v>
      </x:c>
      <x:c r="O8" s="153" t="n">
        <x:f>Model!AF8</x:f>
        <x:v>0</x:v>
      </x:c>
      <x:c r="P8" s="153" t="n">
        <x:f>Model!AG8</x:f>
        <x:v>1369.8454560000005</x:v>
      </x:c>
      <x:c r="Q8" s="153" t="n">
        <x:f>Model!AI8</x:f>
        <x:v>116.60672459654404</x:v>
      </x:c>
      <x:c r="R8" s="153" t="n">
        <x:f>Model!AJ8</x:f>
        <x:v>184.83872675990406</x:v>
      </x:c>
      <x:c r="S8" s="154" t="n">
        <x:f>Model!AN8</x:f>
        <x:v>0.9409729072733534</x:v>
      </x:c>
      <x:c r="T8" s="158" t="n">
        <x:f>Model!AK8</x:f>
        <x:v>342.4613640000001</x:v>
      </x:c>
      <x:c r="U8" s="158" t="n">
        <x:f>Model!AL8</x:f>
        <x:v>10200</x:v>
      </x:c>
      <x:c r="V8" s="158" t="n">
        <x:f>Model!AM8</x:f>
        <x:v>10542.461364</x:v>
      </x:c>
      <x:c r="W8" s="135" t="n">
        <x:f>Model!X8</x:f>
        <x:v>99</x:v>
      </x:c>
      <x:c r="X8" s="135" t="n">
        <x:f>Model!Y8</x:f>
        <x:v>0.2</x:v>
      </x:c>
      <x:c r="Y8" s="135" t="n">
        <x:f>Model!Z8</x:f>
        <x:v>0</x:v>
      </x:c>
      <x:c r="Z8" s="135" t="n">
        <x:f>Model!AA8</x:f>
        <x:v>0</x:v>
      </x:c>
      <x:c r="AA8" s="135" t="n">
        <x:f>Model!AB8</x:f>
        <x:v>50</x:v>
      </x:c>
      <x:c r="AB8" s="135" t="n">
        <x:f>Model!AQ8</x:f>
        <x:v>100</x:v>
      </x:c>
      <x:c r="AC8" s="135" t="n">
        <x:f>Model!AR8</x:f>
        <x:v>50</x:v>
      </x:c>
      <x:c r="AD8" s="135" t="n">
        <x:f>Model!AO8</x:f>
        <x:v>23.26151520000001</x:v>
      </x:c>
      <x:c r="AE8" s="135" t="n">
        <x:f>Model!AP8</x:f>
        <x:v>1</x:v>
      </x:c>
      <x:c r="AF8" s="145" t="str">
        <x:f>Model!AS8</x:f>
        <x:v>Manufacturer-informed electricity use; smart charging is a teaching assumption</x:v>
      </x:c>
      <x:c r="AG8" s="145" t="str">
        <x:f>Model!AT8</x:f>
        <x:v>Urban site with strong air-quality and noise concerns; suitable grid connection. | Time-shifts charging and adds temporary battery storage.</x:v>
      </x:c>
      <x:c r="AH8" s="130"/>
      <x:c r="AI8" s="130"/>
      <x:c r="AJ8" s="130"/>
      <x:c r="AK8" s="130"/>
      <x:c r="AL8" s="130"/>
      <x:c r="AM8" s="130"/>
      <x:c r="AN8" s="130"/>
      <x:c r="AO8" s="130"/>
      <x:c r="AP8" s="130"/>
      <x:c r="AQ8" s="130"/>
      <x:c r="AR8" s="130"/>
      <x:c r="AS8" s="130"/>
      <x:c r="AT8" s="130"/>
      <x:c r="AU8" s="130"/>
      <x:c r="AV8" s="130"/>
      <x:c r="AW8" s="130"/>
      <x:c r="AX8" s="130"/>
      <x:c r="AY8" s="130"/>
      <x:c r="AZ8" s="130"/>
    </x:row>
    <x:row r="9">
      <x:c r="A9" s="134" t="str">
        <x:f>Model!A9</x:f>
        <x:v>C2</x:v>
      </x:c>
      <x:c r="B9" s="134" t="str">
        <x:f>Model!B9</x:f>
        <x:v>Remote infrastructure site</x:v>
      </x:c>
      <x:c r="C9" s="134" t="str">
        <x:f>Model!C9</x:f>
        <x:v>S1</x:v>
      </x:c>
      <x:c r="D9" s="134" t="str">
        <x:f>Model!D9</x:f>
        <x:v>Conventional diesel plant + diesel generator</x:v>
      </x:c>
      <x:c r="E9" s="134" t="n">
        <x:f>Model!E9</x:f>
        <x:v>45</x:v>
      </x:c>
      <x:c r="F9" s="134" t="n">
        <x:f>Model!F9</x:f>
        <x:v>8</x:v>
      </x:c>
      <x:c r="G9" s="142" t="n">
        <x:f>Model!G9</x:f>
        <x:v>0.15</x:v>
      </x:c>
      <x:c r="H9" s="134" t="str">
        <x:f>Model!I9</x:f>
        <x:v>Limited</x:v>
      </x:c>
      <x:c r="I9" s="152" t="n">
        <x:f>Model!J9</x:f>
        <x:v>0.13096</x:v>
      </x:c>
      <x:c r="J9" s="144" t="n">
        <x:f>Model!K9</x:f>
        <x:v>1.55</x:v>
      </x:c>
      <x:c r="K9" s="144" t="n">
        <x:f>Model!L9</x:f>
        <x:v>0.3</x:v>
      </x:c>
      <x:c r="L9" s="134" t="str">
        <x:f>Model!M9</x:f>
        <x:v>Low</x:v>
      </x:c>
      <x:c r="M9" s="134" t="str">
        <x:f>Model!N9</x:f>
        <x:v>Low</x:v>
      </x:c>
      <x:c r="N9" s="153" t="n">
        <x:f>Model!AE9</x:f>
        <x:v>1039.68</x:v>
      </x:c>
      <x:c r="O9" s="153" t="n">
        <x:f>Model!AF9</x:f>
        <x:v>337.5</x:v>
      </x:c>
      <x:c r="P9" s="153" t="n">
        <x:f>Model!AG9</x:f>
        <x:v>0</x:v>
      </x:c>
      <x:c r="Q9" s="153" t="n">
        <x:f>Model!AI9</x:f>
        <x:v>3557.9996172000006</x:v>
      </x:c>
      <x:c r="R9" s="153" t="n">
        <x:f>Model!AJ9</x:f>
        <x:v>4399.470369000001</x:v>
      </x:c>
      <x:c r="S9" s="154" t="n">
        <x:f>Model!AN9</x:f>
        <x:v>0</x:v>
      </x:c>
      <x:c r="T9" s="158" t="n">
        <x:f>Model!AK9</x:f>
        <x:v>2134.6290000000004</x:v>
      </x:c>
      <x:c r="U9" s="158" t="n">
        <x:f>Model!AL9</x:f>
        <x:v>10800</x:v>
      </x:c>
      <x:c r="V9" s="158" t="n">
        <x:f>Model!AM9</x:f>
        <x:v>12934.629</x:v>
      </x:c>
      <x:c r="W9" s="135" t="n">
        <x:f>Model!X9</x:f>
        <x:v>100</x:v>
      </x:c>
      <x:c r="X9" s="135" t="n">
        <x:f>Model!Y9</x:f>
        <x:v>0.1</x:v>
      </x:c>
      <x:c r="Y9" s="135" t="n">
        <x:f>Model!Z9</x:f>
        <x:v>100</x:v>
      </x:c>
      <x:c r="Z9" s="135" t="n">
        <x:f>Model!AA9</x:f>
        <x:v>100</x:v>
      </x:c>
      <x:c r="AA9" s="135" t="n">
        <x:f>Model!AB9</x:f>
        <x:v>100</x:v>
      </x:c>
      <x:c r="AB9" s="135" t="n">
        <x:f>Model!AQ9</x:f>
        <x:v>0</x:v>
      </x:c>
      <x:c r="AC9" s="135" t="n">
        <x:f>Model!AR9</x:f>
        <x:v>0</x:v>
      </x:c>
      <x:c r="AD9" s="135" t="n">
        <x:f>Model!AO9</x:f>
        <x:v>0</x:v>
      </x:c>
      <x:c r="AE9" s="135" t="n">
        <x:f>Model!AP9</x:f>
        <x:v>0</x:v>
      </x:c>
      <x:c r="AF9" s="145" t="str">
        <x:f>Model!AS9</x:f>
        <x:v>Teaching assumptions; official carbon factors applied</x:v>
      </x:c>
      <x:c r="AG9" s="145" t="str">
        <x:f>Model!AT9</x:f>
        <x:v>Grid access is limited; temporary power and charging logistics are important. | Represents a traditional site-energy arrangement.</x:v>
      </x:c>
      <x:c r="AH9" s="130"/>
      <x:c r="AI9" s="130"/>
      <x:c r="AJ9" s="130"/>
      <x:c r="AK9" s="130"/>
      <x:c r="AL9" s="130"/>
      <x:c r="AM9" s="130"/>
      <x:c r="AN9" s="130"/>
      <x:c r="AO9" s="130"/>
      <x:c r="AP9" s="130"/>
      <x:c r="AQ9" s="130"/>
      <x:c r="AR9" s="130"/>
      <x:c r="AS9" s="130"/>
      <x:c r="AT9" s="130"/>
      <x:c r="AU9" s="130"/>
      <x:c r="AV9" s="130"/>
      <x:c r="AW9" s="130"/>
      <x:c r="AX9" s="130"/>
      <x:c r="AY9" s="130"/>
      <x:c r="AZ9" s="130"/>
    </x:row>
    <x:row r="10">
      <x:c r="A10" s="134" t="str">
        <x:f>Model!A10</x:f>
        <x:v>C2</x:v>
      </x:c>
      <x:c r="B10" s="134" t="str">
        <x:f>Model!B10</x:f>
        <x:v>Remote infrastructure site</x:v>
      </x:c>
      <x:c r="C10" s="134" t="str">
        <x:f>Model!C10</x:f>
        <x:v>S2</x:v>
      </x:c>
      <x:c r="D10" s="134" t="str">
        <x:f>Model!D10</x:f>
        <x:v>Stage V diesel + anti-idling + right-sized generator</x:v>
      </x:c>
      <x:c r="E10" s="134" t="n">
        <x:f>Model!E10</x:f>
        <x:v>45</x:v>
      </x:c>
      <x:c r="F10" s="134" t="n">
        <x:f>Model!F10</x:f>
        <x:v>8</x:v>
      </x:c>
      <x:c r="G10" s="142" t="n">
        <x:f>Model!G10</x:f>
        <x:v>0.15</x:v>
      </x:c>
      <x:c r="H10" s="134" t="str">
        <x:f>Model!I10</x:f>
        <x:v>Limited</x:v>
      </x:c>
      <x:c r="I10" s="152" t="n">
        <x:f>Model!J10</x:f>
        <x:v>0.13096</x:v>
      </x:c>
      <x:c r="J10" s="144" t="n">
        <x:f>Model!K10</x:f>
        <x:v>1.55</x:v>
      </x:c>
      <x:c r="K10" s="144" t="n">
        <x:f>Model!L10</x:f>
        <x:v>0.3</x:v>
      </x:c>
      <x:c r="L10" s="134" t="str">
        <x:f>Model!M10</x:f>
        <x:v>Low</x:v>
      </x:c>
      <x:c r="M10" s="134" t="str">
        <x:f>Model!N10</x:f>
        <x:v>Low</x:v>
      </x:c>
      <x:c r="N10" s="153" t="n">
        <x:f>Model!AE10</x:f>
        <x:v>879.4799999999999</x:v>
      </x:c>
      <x:c r="O10" s="153" t="n">
        <x:f>Model!AF10</x:f>
        <x:v>270</x:v>
      </x:c>
      <x:c r="P10" s="153" t="n">
        <x:f>Model!AG10</x:f>
        <x:v>0</x:v>
      </x:c>
      <x:c r="Q10" s="153" t="n">
        <x:f>Model!AI10</x:f>
        <x:v>2969.7275592</x:v>
      </x:c>
      <x:c r="R10" s="153" t="n">
        <x:f>Model!AJ10</x:f>
        <x:v>3672.0713340000007</x:v>
      </x:c>
      <x:c r="S10" s="154" t="n">
        <x:f>Model!AN10</x:f>
        <x:v>0.16533786433146003</x:v>
      </x:c>
      <x:c r="T10" s="158" t="n">
        <x:f>Model!AK10</x:f>
        <x:v>1781.6940000000002</x:v>
      </x:c>
      <x:c r="U10" s="158" t="n">
        <x:f>Model!AL10</x:f>
        <x:v>11475</x:v>
      </x:c>
      <x:c r="V10" s="158" t="n">
        <x:f>Model!AM10</x:f>
        <x:v>13256.694</x:v>
      </x:c>
      <x:c r="W10" s="135" t="n">
        <x:f>Model!X10</x:f>
        <x:v>100</x:v>
      </x:c>
      <x:c r="X10" s="135" t="n">
        <x:f>Model!Y10</x:f>
        <x:v>0.1</x:v>
      </x:c>
      <x:c r="Y10" s="135" t="n">
        <x:f>Model!Z10</x:f>
        <x:v>35</x:v>
      </x:c>
      <x:c r="Z10" s="135" t="n">
        <x:f>Model!AA10</x:f>
        <x:v>25</x:v>
      </x:c>
      <x:c r="AA10" s="135" t="n">
        <x:f>Model!AB10</x:f>
        <x:v>95</x:v>
      </x:c>
      <x:c r="AB10" s="135" t="n">
        <x:f>Model!AQ10</x:f>
        <x:v>70</x:v>
      </x:c>
      <x:c r="AC10" s="135" t="n">
        <x:f>Model!AR10</x:f>
        <x:v>5</x:v>
      </x:c>
      <x:c r="AD10" s="135" t="n">
        <x:f>Model!AO10</x:f>
        <x:v>0</x:v>
      </x:c>
      <x:c r="AE10" s="135" t="n">
        <x:f>Model!AP10</x:f>
        <x:v>0</x:v>
      </x:c>
      <x:c r="AF10" s="145" t="str">
        <x:f>Model!AS10</x:f>
        <x:v>Teaching assumptions; official carbon factors applied</x:v>
      </x:c>
      <x:c r="AG10" s="145" t="str">
        <x:f>Model!AT10</x:f>
        <x:v>Grid access is limited; temporary power and charging logistics are important. | Tests efficiency before full electrification.</x:v>
      </x:c>
      <x:c r="AH10" s="130"/>
      <x:c r="AI10" s="130"/>
      <x:c r="AJ10" s="130"/>
      <x:c r="AK10" s="130"/>
      <x:c r="AL10" s="130"/>
      <x:c r="AM10" s="130"/>
      <x:c r="AN10" s="130"/>
      <x:c r="AO10" s="130"/>
      <x:c r="AP10" s="130"/>
      <x:c r="AQ10" s="130"/>
      <x:c r="AR10" s="130"/>
      <x:c r="AS10" s="130"/>
      <x:c r="AT10" s="130"/>
      <x:c r="AU10" s="130"/>
      <x:c r="AV10" s="130"/>
      <x:c r="AW10" s="130"/>
      <x:c r="AX10" s="130"/>
      <x:c r="AY10" s="130"/>
      <x:c r="AZ10" s="130"/>
    </x:row>
    <x:row r="11">
      <x:c r="A11" s="134" t="str">
        <x:f>Model!A11</x:f>
        <x:v>C2</x:v>
      </x:c>
      <x:c r="B11" s="134" t="str">
        <x:f>Model!B11</x:f>
        <x:v>Remote infrastructure site</x:v>
      </x:c>
      <x:c r="C11" s="134" t="str">
        <x:f>Model!C11</x:f>
        <x:v>S3</x:v>
      </x:c>
      <x:c r="D11" s="134" t="str">
        <x:f>Model!D11</x:f>
        <x:v>Grid-connected electric plant</x:v>
      </x:c>
      <x:c r="E11" s="134" t="n">
        <x:f>Model!E11</x:f>
        <x:v>45</x:v>
      </x:c>
      <x:c r="F11" s="134" t="n">
        <x:f>Model!F11</x:f>
        <x:v>8</x:v>
      </x:c>
      <x:c r="G11" s="142" t="n">
        <x:f>Model!G11</x:f>
        <x:v>0.15</x:v>
      </x:c>
      <x:c r="H11" s="134" t="str">
        <x:f>Model!I11</x:f>
        <x:v>Limited</x:v>
      </x:c>
      <x:c r="I11" s="152" t="n">
        <x:f>Model!J11</x:f>
        <x:v>0.13096</x:v>
      </x:c>
      <x:c r="J11" s="144" t="n">
        <x:f>Model!K11</x:f>
        <x:v>1.55</x:v>
      </x:c>
      <x:c r="K11" s="144" t="n">
        <x:f>Model!L11</x:f>
        <x:v>0.3</x:v>
      </x:c>
      <x:c r="L11" s="134" t="str">
        <x:f>Model!M11</x:f>
        <x:v>Low</x:v>
      </x:c>
      <x:c r="M11" s="134" t="str">
        <x:f>Model!N11</x:f>
        <x:v>Low</x:v>
      </x:c>
      <x:c r="N11" s="153" t="n">
        <x:f>Model!AE11</x:f>
        <x:v>0</x:v>
      </x:c>
      <x:c r="O11" s="153" t="n">
        <x:f>Model!AF11</x:f>
        <x:v>0</x:v>
      </x:c>
      <x:c r="P11" s="153" t="n">
        <x:f>Model!AG11</x:f>
        <x:v>2255.7681000000002</x:v>
      </x:c>
      <x:c r="Q11" s="153" t="n">
        <x:f>Model!AI11</x:f>
        <x:v>295.415390376</x:v>
      </x:c>
      <x:c r="R11" s="153" t="n">
        <x:f>Model!AJ11</x:f>
        <x:v>407.775199437</x:v>
      </x:c>
      <x:c r="S11" s="154" t="n">
        <x:f>Model!AN11</x:f>
        <x:v>0.9169714946151456</x:v>
      </x:c>
      <x:c r="T11" s="158" t="n">
        <x:f>Model!AK11</x:f>
        <x:v>676.7304300000001</x:v>
      </x:c>
      <x:c r="U11" s="158" t="n">
        <x:f>Model!AL11</x:f>
        <x:v>13050</x:v>
      </x:c>
      <x:c r="V11" s="158" t="n">
        <x:f>Model!AM11</x:f>
        <x:v>13726.73043</x:v>
      </x:c>
      <x:c r="W11" s="135" t="n">
        <x:f>Model!X11</x:f>
        <x:v>97</x:v>
      </x:c>
      <x:c r="X11" s="135" t="n">
        <x:f>Model!Y11</x:f>
        <x:v>0.5</x:v>
      </x:c>
      <x:c r="Y11" s="135" t="n">
        <x:f>Model!Z11</x:f>
        <x:v>0</x:v>
      </x:c>
      <x:c r="Z11" s="135" t="n">
        <x:f>Model!AA11</x:f>
        <x:v>0</x:v>
      </x:c>
      <x:c r="AA11" s="135" t="n">
        <x:f>Model!AB11</x:f>
        <x:v>55</x:v>
      </x:c>
      <x:c r="AB11" s="135" t="n">
        <x:f>Model!AQ11</x:f>
        <x:v>100</x:v>
      </x:c>
      <x:c r="AC11" s="135" t="n">
        <x:f>Model!AR11</x:f>
        <x:v>45</x:v>
      </x:c>
      <x:c r="AD11" s="135" t="n">
        <x:f>Model!AO11</x:f>
        <x:v>25.12818</x:v>
      </x:c>
      <x:c r="AE11" s="135" t="n">
        <x:f>Model!AP11</x:f>
        <x:v>1</x:v>
      </x:c>
      <x:c r="AF11" s="145" t="str">
        <x:f>Model!AS11</x:f>
        <x:v>Manufacturer-informed electricity use; teaching cost assumptions</x:v>
      </x:c>
      <x:c r="AG11" s="145" t="str">
        <x:f>Model!AT11</x:f>
        <x:v>Grid access is limited; temporary power and charging logistics are important. | Uses a 20 kWh battery and an indicative six-hour runtime.</x:v>
      </x:c>
      <x:c r="AH11" s="130"/>
      <x:c r="AI11" s="130"/>
      <x:c r="AJ11" s="130"/>
      <x:c r="AK11" s="130"/>
      <x:c r="AL11" s="130"/>
      <x:c r="AM11" s="130"/>
      <x:c r="AN11" s="130"/>
      <x:c r="AO11" s="130"/>
      <x:c r="AP11" s="130"/>
      <x:c r="AQ11" s="130"/>
      <x:c r="AR11" s="130"/>
      <x:c r="AS11" s="130"/>
      <x:c r="AT11" s="130"/>
      <x:c r="AU11" s="130"/>
      <x:c r="AV11" s="130"/>
      <x:c r="AW11" s="130"/>
      <x:c r="AX11" s="130"/>
      <x:c r="AY11" s="130"/>
      <x:c r="AZ11" s="130"/>
    </x:row>
    <x:row r="12">
      <x:c r="A12" s="134" t="str">
        <x:f>Model!A12</x:f>
        <x:v>C2</x:v>
      </x:c>
      <x:c r="B12" s="134" t="str">
        <x:f>Model!B12</x:f>
        <x:v>Remote infrastructure site</x:v>
      </x:c>
      <x:c r="C12" s="134" t="str">
        <x:f>Model!C12</x:f>
        <x:v>S4</x:v>
      </x:c>
      <x:c r="D12" s="134" t="str">
        <x:f>Model!D12</x:f>
        <x:v>Electric plant + battery storage + smart charging</x:v>
      </x:c>
      <x:c r="E12" s="134" t="n">
        <x:f>Model!E12</x:f>
        <x:v>45</x:v>
      </x:c>
      <x:c r="F12" s="134" t="n">
        <x:f>Model!F12</x:f>
        <x:v>8</x:v>
      </x:c>
      <x:c r="G12" s="142" t="n">
        <x:f>Model!G12</x:f>
        <x:v>0.15</x:v>
      </x:c>
      <x:c r="H12" s="134" t="str">
        <x:f>Model!I12</x:f>
        <x:v>Limited</x:v>
      </x:c>
      <x:c r="I12" s="152" t="n">
        <x:f>Model!J12</x:f>
        <x:v>0.13096</x:v>
      </x:c>
      <x:c r="J12" s="144" t="n">
        <x:f>Model!K12</x:f>
        <x:v>1.55</x:v>
      </x:c>
      <x:c r="K12" s="144" t="n">
        <x:f>Model!L12</x:f>
        <x:v>0.3</x:v>
      </x:c>
      <x:c r="L12" s="134" t="str">
        <x:f>Model!M12</x:f>
        <x:v>Low</x:v>
      </x:c>
      <x:c r="M12" s="134" t="str">
        <x:f>Model!N12</x:f>
        <x:v>Low</x:v>
      </x:c>
      <x:c r="N12" s="153" t="n">
        <x:f>Model!AE12</x:f>
        <x:v>0</x:v>
      </x:c>
      <x:c r="O12" s="153" t="n">
        <x:f>Model!AF12</x:f>
        <x:v>0</x:v>
      </x:c>
      <x:c r="P12" s="153" t="n">
        <x:f>Model!AG12</x:f>
        <x:v>2526.4602720000003</x:v>
      </x:c>
      <x:c r="Q12" s="153" t="n">
        <x:f>Model!AI12</x:f>
        <x:v>215.06240419372804</x:v>
      </x:c>
      <x:c r="R12" s="153" t="n">
        <x:f>Model!AJ12</x:f>
        <x:v>340.905390342048</x:v>
      </x:c>
      <x:c r="S12" s="154" t="n">
        <x:f>Model!AN12</x:f>
        <x:v>0.939555248079826</x:v>
      </x:c>
      <x:c r="T12" s="158" t="n">
        <x:f>Model!AK12</x:f>
        <x:v>757.9380816</x:v>
      </x:c>
      <x:c r="U12" s="158" t="n">
        <x:f>Model!AL12</x:f>
        <x:v>15300</x:v>
      </x:c>
      <x:c r="V12" s="158" t="n">
        <x:f>Model!AM12</x:f>
        <x:v>16057.9380816</x:v>
      </x:c>
      <x:c r="W12" s="135" t="n">
        <x:f>Model!X12</x:f>
        <x:v>99</x:v>
      </x:c>
      <x:c r="X12" s="135" t="n">
        <x:f>Model!Y12</x:f>
        <x:v>0.2</x:v>
      </x:c>
      <x:c r="Y12" s="135" t="n">
        <x:f>Model!Z12</x:f>
        <x:v>0</x:v>
      </x:c>
      <x:c r="Z12" s="135" t="n">
        <x:f>Model!AA12</x:f>
        <x:v>0</x:v>
      </x:c>
      <x:c r="AA12" s="135" t="n">
        <x:f>Model!AB12</x:f>
        <x:v>50</x:v>
      </x:c>
      <x:c r="AB12" s="135" t="n">
        <x:f>Model!AQ12</x:f>
        <x:v>100</x:v>
      </x:c>
      <x:c r="AC12" s="135" t="n">
        <x:f>Model!AR12</x:f>
        <x:v>50</x:v>
      </x:c>
      <x:c r="AD12" s="135" t="n">
        <x:f>Model!AO12</x:f>
        <x:v>28.1435616</x:v>
      </x:c>
      <x:c r="AE12" s="135" t="n">
        <x:f>Model!AP12</x:f>
        <x:v>1</x:v>
      </x:c>
      <x:c r="AF12" s="145" t="str">
        <x:f>Model!AS12</x:f>
        <x:v>Manufacturer-informed electricity use; smart charging is a teaching assumption</x:v>
      </x:c>
      <x:c r="AG12" s="145" t="str">
        <x:f>Model!AT12</x:f>
        <x:v>Grid access is limited; temporary power and charging logistics are important. | Time-shifts charging and adds temporary battery storage.</x:v>
      </x:c>
      <x:c r="AH12" s="130"/>
      <x:c r="AI12" s="130"/>
      <x:c r="AJ12" s="130"/>
      <x:c r="AK12" s="130"/>
      <x:c r="AL12" s="130"/>
      <x:c r="AM12" s="130"/>
      <x:c r="AN12" s="130"/>
      <x:c r="AO12" s="130"/>
      <x:c r="AP12" s="130"/>
      <x:c r="AQ12" s="130"/>
      <x:c r="AR12" s="130"/>
      <x:c r="AS12" s="130"/>
      <x:c r="AT12" s="130"/>
      <x:c r="AU12" s="130"/>
      <x:c r="AV12" s="130"/>
      <x:c r="AW12" s="130"/>
      <x:c r="AX12" s="130"/>
      <x:c r="AY12" s="130"/>
      <x:c r="AZ12" s="130"/>
    </x:row>
    <x:row r="13">
      <x:c r="A13" s="134" t="str">
        <x:f>Model!A13</x:f>
        <x:v>C3</x:v>
      </x:c>
      <x:c r="B13" s="134" t="str">
        <x:f>Model!B13</x:f>
        <x:v>City-centre noise-restricted site</x:v>
      </x:c>
      <x:c r="C13" s="134" t="str">
        <x:f>Model!C13</x:f>
        <x:v>S1</x:v>
      </x:c>
      <x:c r="D13" s="134" t="str">
        <x:f>Model!D13</x:f>
        <x:v>Conventional diesel plant + diesel generator</x:v>
      </x:c>
      <x:c r="E13" s="134" t="n">
        <x:f>Model!E13</x:f>
        <x:v>25</x:v>
      </x:c>
      <x:c r="F13" s="134" t="n">
        <x:f>Model!F13</x:f>
        <x:v>6</x:v>
      </x:c>
      <x:c r="G13" s="142" t="n">
        <x:f>Model!G13</x:f>
        <x:v>0.15</x:v>
      </x:c>
      <x:c r="H13" s="134" t="str">
        <x:f>Model!I13</x:f>
        <x:v>Available</x:v>
      </x:c>
      <x:c r="I13" s="152" t="n">
        <x:f>Model!J13</x:f>
        <x:v>0.13096</x:v>
      </x:c>
      <x:c r="J13" s="144" t="n">
        <x:f>Model!K13</x:f>
        <x:v>1.55</x:v>
      </x:c>
      <x:c r="K13" s="144" t="n">
        <x:f>Model!L13</x:f>
        <x:v>0.27</x:v>
      </x:c>
      <x:c r="L13" s="134" t="str">
        <x:f>Model!M13</x:f>
        <x:v>Very high</x:v>
      </x:c>
      <x:c r="M13" s="134" t="str">
        <x:f>Model!N13</x:f>
        <x:v>High</x:v>
      </x:c>
      <x:c r="N13" s="153" t="n">
        <x:f>Model!AE13</x:f>
        <x:v>433.2</x:v>
      </x:c>
      <x:c r="O13" s="153" t="n">
        <x:f>Model!AF13</x:f>
        <x:v>135</x:v>
      </x:c>
      <x:c r="P13" s="153" t="n">
        <x:f>Model!AG13</x:f>
        <x:v>0</x:v>
      </x:c>
      <x:c r="Q13" s="153" t="n">
        <x:f>Model!AI13</x:f>
        <x:v>1467.9674280000002</x:v>
      </x:c>
      <x:c r="R13" s="153" t="n">
        <x:f>Model!AJ13</x:f>
        <x:v>1815.1433100000004</x:v>
      </x:c>
      <x:c r="S13" s="154" t="n">
        <x:f>Model!AN13</x:f>
        <x:v>0</x:v>
      </x:c>
      <x:c r="T13" s="158" t="n">
        <x:f>Model!AK13</x:f>
        <x:v>880.7100000000002</x:v>
      </x:c>
      <x:c r="U13" s="158" t="n">
        <x:f>Model!AL13</x:f>
        <x:v>6000</x:v>
      </x:c>
      <x:c r="V13" s="158" t="n">
        <x:f>Model!AM13</x:f>
        <x:v>6880.71</x:v>
      </x:c>
      <x:c r="W13" s="135" t="n">
        <x:f>Model!X13</x:f>
        <x:v>100</x:v>
      </x:c>
      <x:c r="X13" s="135" t="n">
        <x:f>Model!Y13</x:f>
        <x:v>0.1</x:v>
      </x:c>
      <x:c r="Y13" s="135" t="n">
        <x:f>Model!Z13</x:f>
        <x:v>100</x:v>
      </x:c>
      <x:c r="Z13" s="135" t="n">
        <x:f>Model!AA13</x:f>
        <x:v>100</x:v>
      </x:c>
      <x:c r="AA13" s="135" t="n">
        <x:f>Model!AB13</x:f>
        <x:v>100</x:v>
      </x:c>
      <x:c r="AB13" s="135" t="n">
        <x:f>Model!AQ13</x:f>
        <x:v>0</x:v>
      </x:c>
      <x:c r="AC13" s="135" t="n">
        <x:f>Model!AR13</x:f>
        <x:v>0</x:v>
      </x:c>
      <x:c r="AD13" s="135" t="n">
        <x:f>Model!AO13</x:f>
        <x:v>0</x:v>
      </x:c>
      <x:c r="AE13" s="135" t="n">
        <x:f>Model!AP13</x:f>
        <x:v>0</x:v>
      </x:c>
      <x:c r="AF13" s="145" t="str">
        <x:f>Model!AS13</x:f>
        <x:v>Teaching assumptions; official carbon factors applied</x:v>
      </x:c>
      <x:c r="AG13" s="145" t="str">
        <x:f>Model!AT13</x:f>
        <x:v>Shorter working window and strong noise constraints favour quiet plant. | Represents a traditional site-energy arrangement.</x:v>
      </x:c>
      <x:c r="AH13" s="130"/>
      <x:c r="AI13" s="130"/>
      <x:c r="AJ13" s="130"/>
      <x:c r="AK13" s="130"/>
      <x:c r="AL13" s="130"/>
      <x:c r="AM13" s="130"/>
      <x:c r="AN13" s="130"/>
      <x:c r="AO13" s="130"/>
      <x:c r="AP13" s="130"/>
      <x:c r="AQ13" s="130"/>
      <x:c r="AR13" s="130"/>
      <x:c r="AS13" s="130"/>
      <x:c r="AT13" s="130"/>
      <x:c r="AU13" s="130"/>
      <x:c r="AV13" s="130"/>
      <x:c r="AW13" s="130"/>
      <x:c r="AX13" s="130"/>
      <x:c r="AY13" s="130"/>
      <x:c r="AZ13" s="130"/>
    </x:row>
    <x:row r="14">
      <x:c r="A14" s="134" t="str">
        <x:f>Model!A14</x:f>
        <x:v>C3</x:v>
      </x:c>
      <x:c r="B14" s="134" t="str">
        <x:f>Model!B14</x:f>
        <x:v>City-centre noise-restricted site</x:v>
      </x:c>
      <x:c r="C14" s="134" t="str">
        <x:f>Model!C14</x:f>
        <x:v>S2</x:v>
      </x:c>
      <x:c r="D14" s="134" t="str">
        <x:f>Model!D14</x:f>
        <x:v>Stage V diesel + anti-idling + right-sized generator</x:v>
      </x:c>
      <x:c r="E14" s="134" t="n">
        <x:f>Model!E14</x:f>
        <x:v>25</x:v>
      </x:c>
      <x:c r="F14" s="134" t="n">
        <x:f>Model!F14</x:f>
        <x:v>6</x:v>
      </x:c>
      <x:c r="G14" s="142" t="n">
        <x:f>Model!G14</x:f>
        <x:v>0.15</x:v>
      </x:c>
      <x:c r="H14" s="134" t="str">
        <x:f>Model!I14</x:f>
        <x:v>Available</x:v>
      </x:c>
      <x:c r="I14" s="152" t="n">
        <x:f>Model!J14</x:f>
        <x:v>0.13096</x:v>
      </x:c>
      <x:c r="J14" s="144" t="n">
        <x:f>Model!K14</x:f>
        <x:v>1.55</x:v>
      </x:c>
      <x:c r="K14" s="144" t="n">
        <x:f>Model!L14</x:f>
        <x:v>0.27</x:v>
      </x:c>
      <x:c r="L14" s="134" t="str">
        <x:f>Model!M14</x:f>
        <x:v>Very high</x:v>
      </x:c>
      <x:c r="M14" s="134" t="str">
        <x:f>Model!N14</x:f>
        <x:v>High</x:v>
      </x:c>
      <x:c r="N14" s="153" t="n">
        <x:f>Model!AE14</x:f>
        <x:v>366.45</x:v>
      </x:c>
      <x:c r="O14" s="153" t="n">
        <x:f>Model!AF14</x:f>
        <x:v>108</x:v>
      </x:c>
      <x:c r="P14" s="153" t="n">
        <x:f>Model!AG14</x:f>
        <x:v>0</x:v>
      </x:c>
      <x:c r="Q14" s="153" t="n">
        <x:f>Model!AI14</x:f>
        <x:v>1225.760553</x:v>
      </x:c>
      <x:c r="R14" s="153" t="n">
        <x:f>Model!AJ14</x:f>
        <x:v>1515.6542475</x:v>
      </x:c>
      <x:c r="S14" s="154" t="n">
        <x:f>Model!AN14</x:f>
        <x:v>0.16499472016895467</x:v>
      </x:c>
      <x:c r="T14" s="158" t="n">
        <x:f>Model!AK14</x:f>
        <x:v>735.3975</x:v>
      </x:c>
      <x:c r="U14" s="158" t="n">
        <x:f>Model!AL14</x:f>
        <x:v>6375</x:v>
      </x:c>
      <x:c r="V14" s="158" t="n">
        <x:f>Model!AM14</x:f>
        <x:v>7110.3975</x:v>
      </x:c>
      <x:c r="W14" s="135" t="n">
        <x:f>Model!X14</x:f>
        <x:v>100</x:v>
      </x:c>
      <x:c r="X14" s="135" t="n">
        <x:f>Model!Y14</x:f>
        <x:v>0.1</x:v>
      </x:c>
      <x:c r="Y14" s="135" t="n">
        <x:f>Model!Z14</x:f>
        <x:v>35</x:v>
      </x:c>
      <x:c r="Z14" s="135" t="n">
        <x:f>Model!AA14</x:f>
        <x:v>25</x:v>
      </x:c>
      <x:c r="AA14" s="135" t="n">
        <x:f>Model!AB14</x:f>
        <x:v>95</x:v>
      </x:c>
      <x:c r="AB14" s="135" t="n">
        <x:f>Model!AQ14</x:f>
        <x:v>70</x:v>
      </x:c>
      <x:c r="AC14" s="135" t="n">
        <x:f>Model!AR14</x:f>
        <x:v>5</x:v>
      </x:c>
      <x:c r="AD14" s="135" t="n">
        <x:f>Model!AO14</x:f>
        <x:v>0</x:v>
      </x:c>
      <x:c r="AE14" s="135" t="n">
        <x:f>Model!AP14</x:f>
        <x:v>0</x:v>
      </x:c>
      <x:c r="AF14" s="145" t="str">
        <x:f>Model!AS14</x:f>
        <x:v>Teaching assumptions; official carbon factors applied</x:v>
      </x:c>
      <x:c r="AG14" s="145" t="str">
        <x:f>Model!AT14</x:f>
        <x:v>Shorter working window and strong noise constraints favour quiet plant. | Tests efficiency before full electrification.</x:v>
      </x:c>
      <x:c r="AH14" s="130"/>
      <x:c r="AI14" s="130"/>
      <x:c r="AJ14" s="130"/>
      <x:c r="AK14" s="130"/>
      <x:c r="AL14" s="130"/>
      <x:c r="AM14" s="130"/>
      <x:c r="AN14" s="130"/>
      <x:c r="AO14" s="130"/>
      <x:c r="AP14" s="130"/>
      <x:c r="AQ14" s="130"/>
      <x:c r="AR14" s="130"/>
      <x:c r="AS14" s="130"/>
      <x:c r="AT14" s="130"/>
      <x:c r="AU14" s="130"/>
      <x:c r="AV14" s="130"/>
      <x:c r="AW14" s="130"/>
      <x:c r="AX14" s="130"/>
      <x:c r="AY14" s="130"/>
      <x:c r="AZ14" s="130"/>
    </x:row>
    <x:row r="15">
      <x:c r="A15" s="134" t="str">
        <x:f>Model!A15</x:f>
        <x:v>C3</x:v>
      </x:c>
      <x:c r="B15" s="134" t="str">
        <x:f>Model!B15</x:f>
        <x:v>City-centre noise-restricted site</x:v>
      </x:c>
      <x:c r="C15" s="134" t="str">
        <x:f>Model!C15</x:f>
        <x:v>S3</x:v>
      </x:c>
      <x:c r="D15" s="134" t="str">
        <x:f>Model!D15</x:f>
        <x:v>Grid-connected electric plant</x:v>
      </x:c>
      <x:c r="E15" s="134" t="n">
        <x:f>Model!E15</x:f>
        <x:v>25</x:v>
      </x:c>
      <x:c r="F15" s="134" t="n">
        <x:f>Model!F15</x:f>
        <x:v>6</x:v>
      </x:c>
      <x:c r="G15" s="142" t="n">
        <x:f>Model!G15</x:f>
        <x:v>0.15</x:v>
      </x:c>
      <x:c r="H15" s="134" t="str">
        <x:f>Model!I15</x:f>
        <x:v>Available</x:v>
      </x:c>
      <x:c r="I15" s="152" t="n">
        <x:f>Model!J15</x:f>
        <x:v>0.13096</x:v>
      </x:c>
      <x:c r="J15" s="144" t="n">
        <x:f>Model!K15</x:f>
        <x:v>1.55</x:v>
      </x:c>
      <x:c r="K15" s="144" t="n">
        <x:f>Model!L15</x:f>
        <x:v>0.27</x:v>
      </x:c>
      <x:c r="L15" s="134" t="str">
        <x:f>Model!M15</x:f>
        <x:v>Very high</x:v>
      </x:c>
      <x:c r="M15" s="134" t="str">
        <x:f>Model!N15</x:f>
        <x:v>High</x:v>
      </x:c>
      <x:c r="N15" s="153" t="n">
        <x:f>Model!AE15</x:f>
        <x:v>0</x:v>
      </x:c>
      <x:c r="O15" s="153" t="n">
        <x:f>Model!AF15</x:f>
        <x:v>0</x:v>
      </x:c>
      <x:c r="P15" s="153" t="n">
        <x:f>Model!AG15</x:f>
        <x:v>921.153375</x:v>
      </x:c>
      <x:c r="Q15" s="153" t="n">
        <x:f>Model!AI15</x:f>
        <x:v>120.63424599</x:v>
      </x:c>
      <x:c r="R15" s="153" t="n">
        <x:f>Model!AJ15</x:f>
        <x:v>166.51689559874998</x:v>
      </x:c>
      <x:c r="S15" s="154" t="n">
        <x:f>Model!AN15</x:f>
        <x:v>0.9178222597524828</x:v>
      </x:c>
      <x:c r="T15" s="158" t="n">
        <x:f>Model!AK15</x:f>
        <x:v>248.71141125</x:v>
      </x:c>
      <x:c r="U15" s="158" t="n">
        <x:f>Model!AL15</x:f>
        <x:v>7250</x:v>
      </x:c>
      <x:c r="V15" s="158" t="n">
        <x:f>Model!AM15</x:f>
        <x:v>7498.71141125</x:v>
      </x:c>
      <x:c r="W15" s="135" t="n">
        <x:f>Model!X15</x:f>
        <x:v>97</x:v>
      </x:c>
      <x:c r="X15" s="135" t="n">
        <x:f>Model!Y15</x:f>
        <x:v>0.5</x:v>
      </x:c>
      <x:c r="Y15" s="135" t="n">
        <x:f>Model!Z15</x:f>
        <x:v>0</x:v>
      </x:c>
      <x:c r="Z15" s="135" t="n">
        <x:f>Model!AA15</x:f>
        <x:v>0</x:v>
      </x:c>
      <x:c r="AA15" s="135" t="n">
        <x:f>Model!AB15</x:f>
        <x:v>55</x:v>
      </x:c>
      <x:c r="AB15" s="135" t="n">
        <x:f>Model!AQ15</x:f>
        <x:v>100</x:v>
      </x:c>
      <x:c r="AC15" s="135" t="n">
        <x:f>Model!AR15</x:f>
        <x:v>45</x:v>
      </x:c>
      <x:c r="AD15" s="135" t="n">
        <x:f>Model!AO15</x:f>
        <x:v>18.846135</x:v>
      </x:c>
      <x:c r="AE15" s="135" t="n">
        <x:f>Model!AP15</x:f>
        <x:v>0</x:v>
      </x:c>
      <x:c r="AF15" s="145" t="str">
        <x:f>Model!AS15</x:f>
        <x:v>Manufacturer-informed electricity use; teaching cost assumptions</x:v>
      </x:c>
      <x:c r="AG15" s="145" t="str">
        <x:f>Model!AT15</x:f>
        <x:v>Shorter working window and strong noise constraints favour quiet plant. | Uses a 20 kWh battery and an indicative six-hour runtime.</x:v>
      </x:c>
      <x:c r="AH15" s="130"/>
      <x:c r="AI15" s="130"/>
      <x:c r="AJ15" s="130"/>
      <x:c r="AK15" s="130"/>
      <x:c r="AL15" s="130"/>
      <x:c r="AM15" s="130"/>
      <x:c r="AN15" s="130"/>
      <x:c r="AO15" s="130"/>
      <x:c r="AP15" s="130"/>
      <x:c r="AQ15" s="130"/>
      <x:c r="AR15" s="130"/>
      <x:c r="AS15" s="130"/>
      <x:c r="AT15" s="130"/>
      <x:c r="AU15" s="130"/>
      <x:c r="AV15" s="130"/>
      <x:c r="AW15" s="130"/>
      <x:c r="AX15" s="130"/>
      <x:c r="AY15" s="130"/>
      <x:c r="AZ15" s="130"/>
    </x:row>
    <x:row r="16">
      <x:c r="A16" s="134" t="str">
        <x:f>Model!A16</x:f>
        <x:v>C3</x:v>
      </x:c>
      <x:c r="B16" s="134" t="str">
        <x:f>Model!B16</x:f>
        <x:v>City-centre noise-restricted site</x:v>
      </x:c>
      <x:c r="C16" s="134" t="str">
        <x:f>Model!C16</x:f>
        <x:v>S4</x:v>
      </x:c>
      <x:c r="D16" s="134" t="str">
        <x:f>Model!D16</x:f>
        <x:v>Electric plant + battery storage + smart charging</x:v>
      </x:c>
      <x:c r="E16" s="134" t="n">
        <x:f>Model!E16</x:f>
        <x:v>25</x:v>
      </x:c>
      <x:c r="F16" s="134" t="n">
        <x:f>Model!F16</x:f>
        <x:v>6</x:v>
      </x:c>
      <x:c r="G16" s="142" t="n">
        <x:f>Model!G16</x:f>
        <x:v>0.15</x:v>
      </x:c>
      <x:c r="H16" s="134" t="str">
        <x:f>Model!I16</x:f>
        <x:v>Available</x:v>
      </x:c>
      <x:c r="I16" s="152" t="n">
        <x:f>Model!J16</x:f>
        <x:v>0.13096</x:v>
      </x:c>
      <x:c r="J16" s="144" t="n">
        <x:f>Model!K16</x:f>
        <x:v>1.55</x:v>
      </x:c>
      <x:c r="K16" s="144" t="n">
        <x:f>Model!L16</x:f>
        <x:v>0.27</x:v>
      </x:c>
      <x:c r="L16" s="134" t="str">
        <x:f>Model!M16</x:f>
        <x:v>Very high</x:v>
      </x:c>
      <x:c r="M16" s="134" t="str">
        <x:f>Model!N16</x:f>
        <x:v>High</x:v>
      </x:c>
      <x:c r="N16" s="153" t="n">
        <x:f>Model!AE16</x:f>
        <x:v>0</x:v>
      </x:c>
      <x:c r="O16" s="153" t="n">
        <x:f>Model!AF16</x:f>
        <x:v>0</x:v>
      </x:c>
      <x:c r="P16" s="153" t="n">
        <x:f>Model!AG16</x:f>
        <x:v>1031.69178</x:v>
      </x:c>
      <x:c r="Q16" s="153" t="n">
        <x:f>Model!AI16</x:f>
        <x:v>87.82173108072001</x:v>
      </x:c>
      <x:c r="R16" s="153" t="n">
        <x:f>Model!AJ16</x:f>
        <x:v>139.21029864252</x:v>
      </x:c>
      <x:c r="S16" s="154" t="n">
        <x:f>Model!AN16</x:f>
        <x:v>0.9401746050998074</x:v>
      </x:c>
      <x:c r="T16" s="158" t="n">
        <x:f>Model!AK16</x:f>
        <x:v>278.5567806</x:v>
      </x:c>
      <x:c r="U16" s="158" t="n">
        <x:f>Model!AL16</x:f>
        <x:v>8500</x:v>
      </x:c>
      <x:c r="V16" s="158" t="n">
        <x:f>Model!AM16</x:f>
        <x:v>8778.5567806</x:v>
      </x:c>
      <x:c r="W16" s="135" t="n">
        <x:f>Model!X16</x:f>
        <x:v>99</x:v>
      </x:c>
      <x:c r="X16" s="135" t="n">
        <x:f>Model!Y16</x:f>
        <x:v>0.2</x:v>
      </x:c>
      <x:c r="Y16" s="135" t="n">
        <x:f>Model!Z16</x:f>
        <x:v>0</x:v>
      </x:c>
      <x:c r="Z16" s="135" t="n">
        <x:f>Model!AA16</x:f>
        <x:v>0</x:v>
      </x:c>
      <x:c r="AA16" s="135" t="n">
        <x:f>Model!AB16</x:f>
        <x:v>50</x:v>
      </x:c>
      <x:c r="AB16" s="135" t="n">
        <x:f>Model!AQ16</x:f>
        <x:v>100</x:v>
      </x:c>
      <x:c r="AC16" s="135" t="n">
        <x:f>Model!AR16</x:f>
        <x:v>50</x:v>
      </x:c>
      <x:c r="AD16" s="135" t="n">
        <x:f>Model!AO16</x:f>
        <x:v>21.107671200000002</x:v>
      </x:c>
      <x:c r="AE16" s="135" t="n">
        <x:f>Model!AP16</x:f>
        <x:v>1</x:v>
      </x:c>
      <x:c r="AF16" s="145" t="str">
        <x:f>Model!AS16</x:f>
        <x:v>Manufacturer-informed electricity use; smart charging is a teaching assumption</x:v>
      </x:c>
      <x:c r="AG16" s="145" t="str">
        <x:f>Model!AT16</x:f>
        <x:v>Shorter working window and strong noise constraints favour quiet plant. | Time-shifts charging and adds temporary battery storage.</x:v>
      </x:c>
      <x:c r="AH16" s="130"/>
      <x:c r="AI16" s="130"/>
      <x:c r="AJ16" s="130"/>
      <x:c r="AK16" s="130"/>
      <x:c r="AL16" s="130"/>
      <x:c r="AM16" s="130"/>
      <x:c r="AN16" s="130"/>
      <x:c r="AO16" s="130"/>
      <x:c r="AP16" s="130"/>
      <x:c r="AQ16" s="130"/>
      <x:c r="AR16" s="130"/>
      <x:c r="AS16" s="130"/>
      <x:c r="AT16" s="130"/>
      <x:c r="AU16" s="130"/>
      <x:c r="AV16" s="130"/>
      <x:c r="AW16" s="130"/>
      <x:c r="AX16" s="130"/>
      <x:c r="AY16" s="130"/>
      <x:c r="AZ16" s="130"/>
    </x:row>
    <x:row r="17">
      <x:c r="A17" s="134" t="str">
        <x:f>Model!A17</x:f>
        <x:v>C4</x:v>
      </x:c>
      <x:c r="B17" s="134" t="str">
        <x:f>Model!B17</x:f>
        <x:v>Tight-programme long-shift site</x:v>
      </x:c>
      <x:c r="C17" s="134" t="str">
        <x:f>Model!C17</x:f>
        <x:v>S1</x:v>
      </x:c>
      <x:c r="D17" s="134" t="str">
        <x:f>Model!D17</x:f>
        <x:v>Conventional diesel plant + diesel generator</x:v>
      </x:c>
      <x:c r="E17" s="134" t="n">
        <x:f>Model!E17</x:f>
        <x:v>20</x:v>
      </x:c>
      <x:c r="F17" s="134" t="n">
        <x:f>Model!F17</x:f>
        <x:v>10</x:v>
      </x:c>
      <x:c r="G17" s="142" t="n">
        <x:f>Model!G17</x:f>
        <x:v>0.1</x:v>
      </x:c>
      <x:c r="H17" s="134" t="str">
        <x:f>Model!I17</x:f>
        <x:v>Available</x:v>
      </x:c>
      <x:c r="I17" s="152" t="n">
        <x:f>Model!J17</x:f>
        <x:v>0.13096</x:v>
      </x:c>
      <x:c r="J17" s="144" t="n">
        <x:f>Model!K17</x:f>
        <x:v>1.55</x:v>
      </x:c>
      <x:c r="K17" s="144" t="n">
        <x:f>Model!L17</x:f>
        <x:v>0.25</x:v>
      </x:c>
      <x:c r="L17" s="134" t="str">
        <x:f>Model!M17</x:f>
        <x:v>Medium</x:v>
      </x:c>
      <x:c r="M17" s="134" t="str">
        <x:f>Model!N17</x:f>
        <x:v>Medium</x:v>
      </x:c>
      <x:c r="N17" s="153" t="n">
        <x:f>Model!AE17</x:f>
        <x:v>598.4</x:v>
      </x:c>
      <x:c r="O17" s="153" t="n">
        <x:f>Model!AF17</x:f>
        <x:v>180</x:v>
      </x:c>
      <x:c r="P17" s="153" t="n">
        <x:f>Model!AG17</x:f>
        <x:v>0</x:v>
      </x:c>
      <x:c r="Q17" s="153" t="n">
        <x:f>Model!AI17</x:f>
        <x:v>2011.027536</x:v>
      </x:c>
      <x:c r="R17" s="153" t="n">
        <x:f>Model!AJ17</x:f>
        <x:v>2486.63772</x:v>
      </x:c>
      <x:c r="S17" s="154" t="n">
        <x:f>Model!AN17</x:f>
        <x:v>0</x:v>
      </x:c>
      <x:c r="T17" s="158" t="n">
        <x:f>Model!AK17</x:f>
        <x:v>1206.52</x:v>
      </x:c>
      <x:c r="U17" s="158" t="n">
        <x:f>Model!AL17</x:f>
        <x:v>4800</x:v>
      </x:c>
      <x:c r="V17" s="158" t="n">
        <x:f>Model!AM17</x:f>
        <x:v>6006.52</x:v>
      </x:c>
      <x:c r="W17" s="135" t="n">
        <x:f>Model!X17</x:f>
        <x:v>100</x:v>
      </x:c>
      <x:c r="X17" s="135" t="n">
        <x:f>Model!Y17</x:f>
        <x:v>0.1</x:v>
      </x:c>
      <x:c r="Y17" s="135" t="n">
        <x:f>Model!Z17</x:f>
        <x:v>100</x:v>
      </x:c>
      <x:c r="Z17" s="135" t="n">
        <x:f>Model!AA17</x:f>
        <x:v>100</x:v>
      </x:c>
      <x:c r="AA17" s="135" t="n">
        <x:f>Model!AB17</x:f>
        <x:v>100</x:v>
      </x:c>
      <x:c r="AB17" s="135" t="n">
        <x:f>Model!AQ17</x:f>
        <x:v>0</x:v>
      </x:c>
      <x:c r="AC17" s="135" t="n">
        <x:f>Model!AR17</x:f>
        <x:v>0</x:v>
      </x:c>
      <x:c r="AD17" s="135" t="n">
        <x:f>Model!AO17</x:f>
        <x:v>0</x:v>
      </x:c>
      <x:c r="AE17" s="135" t="n">
        <x:f>Model!AP17</x:f>
        <x:v>0</x:v>
      </x:c>
      <x:c r="AF17" s="145" t="str">
        <x:f>Model!AS17</x:f>
        <x:v>Teaching assumptions; official carbon factors applied</x:v>
      </x:c>
      <x:c r="AG17" s="145" t="str">
        <x:f>Model!AT17</x:f>
        <x:v>Long shifts test battery runtime, charging and productivity assumptions. | Represents a traditional site-energy arrangement.</x:v>
      </x:c>
      <x:c r="AH17" s="130"/>
      <x:c r="AI17" s="130"/>
      <x:c r="AJ17" s="130"/>
      <x:c r="AK17" s="130"/>
      <x:c r="AL17" s="130"/>
      <x:c r="AM17" s="130"/>
      <x:c r="AN17" s="130"/>
      <x:c r="AO17" s="130"/>
      <x:c r="AP17" s="130"/>
      <x:c r="AQ17" s="130"/>
      <x:c r="AR17" s="130"/>
      <x:c r="AS17" s="130"/>
      <x:c r="AT17" s="130"/>
      <x:c r="AU17" s="130"/>
      <x:c r="AV17" s="130"/>
      <x:c r="AW17" s="130"/>
      <x:c r="AX17" s="130"/>
      <x:c r="AY17" s="130"/>
      <x:c r="AZ17" s="130"/>
    </x:row>
    <x:row r="18">
      <x:c r="A18" s="134" t="str">
        <x:f>Model!A18</x:f>
        <x:v>C4</x:v>
      </x:c>
      <x:c r="B18" s="134" t="str">
        <x:f>Model!B18</x:f>
        <x:v>Tight-programme long-shift site</x:v>
      </x:c>
      <x:c r="C18" s="134" t="str">
        <x:f>Model!C18</x:f>
        <x:v>S2</x:v>
      </x:c>
      <x:c r="D18" s="134" t="str">
        <x:f>Model!D18</x:f>
        <x:v>Stage V diesel + anti-idling + right-sized generator</x:v>
      </x:c>
      <x:c r="E18" s="134" t="n">
        <x:f>Model!E18</x:f>
        <x:v>20</x:v>
      </x:c>
      <x:c r="F18" s="134" t="n">
        <x:f>Model!F18</x:f>
        <x:v>10</x:v>
      </x:c>
      <x:c r="G18" s="142" t="n">
        <x:f>Model!G18</x:f>
        <x:v>0.1</x:v>
      </x:c>
      <x:c r="H18" s="134" t="str">
        <x:f>Model!I18</x:f>
        <x:v>Available</x:v>
      </x:c>
      <x:c r="I18" s="152" t="n">
        <x:f>Model!J18</x:f>
        <x:v>0.13096</x:v>
      </x:c>
      <x:c r="J18" s="144" t="n">
        <x:f>Model!K18</x:f>
        <x:v>1.55</x:v>
      </x:c>
      <x:c r="K18" s="144" t="n">
        <x:f>Model!L18</x:f>
        <x:v>0.25</x:v>
      </x:c>
      <x:c r="L18" s="134" t="str">
        <x:f>Model!M18</x:f>
        <x:v>Medium</x:v>
      </x:c>
      <x:c r="M18" s="134" t="str">
        <x:f>Model!N18</x:f>
        <x:v>Medium</x:v>
      </x:c>
      <x:c r="N18" s="153" t="n">
        <x:f>Model!AE18</x:f>
        <x:v>512.4</x:v>
      </x:c>
      <x:c r="O18" s="153" t="n">
        <x:f>Model!AF18</x:f>
        <x:v>144</x:v>
      </x:c>
      <x:c r="P18" s="153" t="n">
        <x:f>Model!AG18</x:f>
        <x:v>0</x:v>
      </x:c>
      <x:c r="Q18" s="153" t="n">
        <x:f>Model!AI18</x:f>
        <x:v>1695.835656</x:v>
      </x:c>
      <x:c r="R18" s="153" t="n">
        <x:f>Model!AJ18</x:f>
        <x:v>2096.9026200000003</x:v>
      </x:c>
      <x:c r="S18" s="154" t="n">
        <x:f>Model!AN18</x:f>
        <x:v>0.15673175745118195</x:v>
      </x:c>
      <x:c r="T18" s="158" t="n">
        <x:f>Model!AK18</x:f>
        <x:v>1017.42</x:v>
      </x:c>
      <x:c r="U18" s="158" t="n">
        <x:f>Model!AL18</x:f>
        <x:v>5100</x:v>
      </x:c>
      <x:c r="V18" s="158" t="n">
        <x:f>Model!AM18</x:f>
        <x:v>6117.42</x:v>
      </x:c>
      <x:c r="W18" s="135" t="n">
        <x:f>Model!X18</x:f>
        <x:v>100</x:v>
      </x:c>
      <x:c r="X18" s="135" t="n">
        <x:f>Model!Y18</x:f>
        <x:v>0.1</x:v>
      </x:c>
      <x:c r="Y18" s="135" t="n">
        <x:f>Model!Z18</x:f>
        <x:v>35</x:v>
      </x:c>
      <x:c r="Z18" s="135" t="n">
        <x:f>Model!AA18</x:f>
        <x:v>25</x:v>
      </x:c>
      <x:c r="AA18" s="135" t="n">
        <x:f>Model!AB18</x:f>
        <x:v>95</x:v>
      </x:c>
      <x:c r="AB18" s="135" t="n">
        <x:f>Model!AQ18</x:f>
        <x:v>70</x:v>
      </x:c>
      <x:c r="AC18" s="135" t="n">
        <x:f>Model!AR18</x:f>
        <x:v>5</x:v>
      </x:c>
      <x:c r="AD18" s="135" t="n">
        <x:f>Model!AO18</x:f>
        <x:v>0</x:v>
      </x:c>
      <x:c r="AE18" s="135" t="n">
        <x:f>Model!AP18</x:f>
        <x:v>0</x:v>
      </x:c>
      <x:c r="AF18" s="145" t="str">
        <x:f>Model!AS18</x:f>
        <x:v>Teaching assumptions; official carbon factors applied</x:v>
      </x:c>
      <x:c r="AG18" s="145" t="str">
        <x:f>Model!AT18</x:f>
        <x:v>Long shifts test battery runtime, charging and productivity assumptions. | Tests efficiency before full electrification.</x:v>
      </x:c>
      <x:c r="AH18" s="130"/>
      <x:c r="AI18" s="130"/>
      <x:c r="AJ18" s="130"/>
      <x:c r="AK18" s="130"/>
      <x:c r="AL18" s="130"/>
      <x:c r="AM18" s="130"/>
      <x:c r="AN18" s="130"/>
      <x:c r="AO18" s="130"/>
      <x:c r="AP18" s="130"/>
      <x:c r="AQ18" s="130"/>
      <x:c r="AR18" s="130"/>
      <x:c r="AS18" s="130"/>
      <x:c r="AT18" s="130"/>
      <x:c r="AU18" s="130"/>
      <x:c r="AV18" s="130"/>
      <x:c r="AW18" s="130"/>
      <x:c r="AX18" s="130"/>
      <x:c r="AY18" s="130"/>
      <x:c r="AZ18" s="130"/>
    </x:row>
    <x:row r="19">
      <x:c r="A19" s="134" t="str">
        <x:f>Model!A19</x:f>
        <x:v>C4</x:v>
      </x:c>
      <x:c r="B19" s="134" t="str">
        <x:f>Model!B19</x:f>
        <x:v>Tight-programme long-shift site</x:v>
      </x:c>
      <x:c r="C19" s="134" t="str">
        <x:f>Model!C19</x:f>
        <x:v>S3</x:v>
      </x:c>
      <x:c r="D19" s="134" t="str">
        <x:f>Model!D19</x:f>
        <x:v>Grid-connected electric plant</x:v>
      </x:c>
      <x:c r="E19" s="134" t="n">
        <x:f>Model!E19</x:f>
        <x:v>20</x:v>
      </x:c>
      <x:c r="F19" s="134" t="n">
        <x:f>Model!F19</x:f>
        <x:v>10</x:v>
      </x:c>
      <x:c r="G19" s="142" t="n">
        <x:f>Model!G19</x:f>
        <x:v>0.1</x:v>
      </x:c>
      <x:c r="H19" s="134" t="str">
        <x:f>Model!I19</x:f>
        <x:v>Available</x:v>
      </x:c>
      <x:c r="I19" s="152" t="n">
        <x:f>Model!J19</x:f>
        <x:v>0.13096</x:v>
      </x:c>
      <x:c r="J19" s="144" t="n">
        <x:f>Model!K19</x:f>
        <x:v>1.55</x:v>
      </x:c>
      <x:c r="K19" s="144" t="n">
        <x:f>Model!L19</x:f>
        <x:v>0.25</x:v>
      </x:c>
      <x:c r="L19" s="134" t="str">
        <x:f>Model!M19</x:f>
        <x:v>Medium</x:v>
      </x:c>
      <x:c r="M19" s="134" t="str">
        <x:f>Model!N19</x:f>
        <x:v>Medium</x:v>
      </x:c>
      <x:c r="N19" s="153" t="n">
        <x:f>Model!AE19</x:f>
        <x:v>0</x:v>
      </x:c>
      <x:c r="O19" s="153" t="n">
        <x:f>Model!AF19</x:f>
        <x:v>0</x:v>
      </x:c>
      <x:c r="P19" s="153" t="n">
        <x:f>Model!AG19</x:f>
        <x:v>1263.0030000000002</x:v>
      </x:c>
      <x:c r="Q19" s="153" t="n">
        <x:f>Model!AI19</x:f>
        <x:v>165.40287288000002</x:v>
      </x:c>
      <x:c r="R19" s="153" t="n">
        <x:f>Model!AJ19</x:f>
        <x:v>228.31305231000002</x:v>
      </x:c>
      <x:c r="S19" s="154" t="n">
        <x:f>Model!AN19</x:f>
        <x:v>0.9177520596217237</x:v>
      </x:c>
      <x:c r="T19" s="158" t="n">
        <x:f>Model!AK19</x:f>
        <x:v>315.75075000000004</x:v>
      </x:c>
      <x:c r="U19" s="158" t="n">
        <x:f>Model!AL19</x:f>
        <x:v>5800</x:v>
      </x:c>
      <x:c r="V19" s="158" t="n">
        <x:f>Model!AM19</x:f>
        <x:v>6115.75075</x:v>
      </x:c>
      <x:c r="W19" s="135" t="n">
        <x:f>Model!X19</x:f>
        <x:v>97</x:v>
      </x:c>
      <x:c r="X19" s="135" t="n">
        <x:f>Model!Y19</x:f>
        <x:v>0.5</x:v>
      </x:c>
      <x:c r="Y19" s="135" t="n">
        <x:f>Model!Z19</x:f>
        <x:v>0</x:v>
      </x:c>
      <x:c r="Z19" s="135" t="n">
        <x:f>Model!AA19</x:f>
        <x:v>0</x:v>
      </x:c>
      <x:c r="AA19" s="135" t="n">
        <x:f>Model!AB19</x:f>
        <x:v>55</x:v>
      </x:c>
      <x:c r="AB19" s="135" t="n">
        <x:f>Model!AQ19</x:f>
        <x:v>100</x:v>
      </x:c>
      <x:c r="AC19" s="135" t="n">
        <x:f>Model!AR19</x:f>
        <x:v>45</x:v>
      </x:c>
      <x:c r="AD19" s="135" t="n">
        <x:f>Model!AO19</x:f>
        <x:v>33.150150000000004</x:v>
      </x:c>
      <x:c r="AE19" s="135" t="n">
        <x:f>Model!AP19</x:f>
        <x:v>1</x:v>
      </x:c>
      <x:c r="AF19" s="145" t="str">
        <x:f>Model!AS19</x:f>
        <x:v>Manufacturer-informed electricity use; teaching cost assumptions</x:v>
      </x:c>
      <x:c r="AG19" s="145" t="str">
        <x:f>Model!AT19</x:f>
        <x:v>Long shifts test battery runtime, charging and productivity assumptions. | Uses a 20 kWh battery and an indicative six-hour runtime.</x:v>
      </x:c>
      <x:c r="AH19" s="130"/>
      <x:c r="AI19" s="130"/>
      <x:c r="AJ19" s="130"/>
      <x:c r="AK19" s="130"/>
      <x:c r="AL19" s="130"/>
      <x:c r="AM19" s="130"/>
      <x:c r="AN19" s="130"/>
      <x:c r="AO19" s="130"/>
      <x:c r="AP19" s="130"/>
      <x:c r="AQ19" s="130"/>
      <x:c r="AR19" s="130"/>
      <x:c r="AS19" s="130"/>
      <x:c r="AT19" s="130"/>
      <x:c r="AU19" s="130"/>
      <x:c r="AV19" s="130"/>
      <x:c r="AW19" s="130"/>
      <x:c r="AX19" s="130"/>
      <x:c r="AY19" s="130"/>
      <x:c r="AZ19" s="130"/>
    </x:row>
    <x:row r="20">
      <x:c r="A20" s="134" t="str">
        <x:f>Model!A20</x:f>
        <x:v>C4</x:v>
      </x:c>
      <x:c r="B20" s="134" t="str">
        <x:f>Model!B20</x:f>
        <x:v>Tight-programme long-shift site</x:v>
      </x:c>
      <x:c r="C20" s="134" t="str">
        <x:f>Model!C20</x:f>
        <x:v>S4</x:v>
      </x:c>
      <x:c r="D20" s="134" t="str">
        <x:f>Model!D20</x:f>
        <x:v>Electric plant + battery storage + smart charging</x:v>
      </x:c>
      <x:c r="E20" s="134" t="n">
        <x:f>Model!E20</x:f>
        <x:v>20</x:v>
      </x:c>
      <x:c r="F20" s="134" t="n">
        <x:f>Model!F20</x:f>
        <x:v>10</x:v>
      </x:c>
      <x:c r="G20" s="142" t="n">
        <x:f>Model!G20</x:f>
        <x:v>0.1</x:v>
      </x:c>
      <x:c r="H20" s="134" t="str">
        <x:f>Model!I20</x:f>
        <x:v>Available</x:v>
      </x:c>
      <x:c r="I20" s="152" t="n">
        <x:f>Model!J20</x:f>
        <x:v>0.13096</x:v>
      </x:c>
      <x:c r="J20" s="144" t="n">
        <x:f>Model!K20</x:f>
        <x:v>1.55</x:v>
      </x:c>
      <x:c r="K20" s="144" t="n">
        <x:f>Model!L20</x:f>
        <x:v>0.25</x:v>
      </x:c>
      <x:c r="L20" s="134" t="str">
        <x:f>Model!M20</x:f>
        <x:v>Medium</x:v>
      </x:c>
      <x:c r="M20" s="134" t="str">
        <x:f>Model!N20</x:f>
        <x:v>Medium</x:v>
      </x:c>
      <x:c r="N20" s="153" t="n">
        <x:f>Model!AE20</x:f>
        <x:v>0</x:v>
      </x:c>
      <x:c r="O20" s="153" t="n">
        <x:f>Model!AF20</x:f>
        <x:v>0</x:v>
      </x:c>
      <x:c r="P20" s="153" t="n">
        <x:f>Model!AG20</x:f>
        <x:v>1414.56336</x:v>
      </x:c>
      <x:c r="Q20" s="153" t="n">
        <x:f>Model!AI20</x:f>
        <x:v>120.41329145664001</x:v>
      </x:c>
      <x:c r="R20" s="153" t="n">
        <x:f>Model!AJ20</x:f>
        <x:v>190.87269241824</x:v>
      </x:c>
      <x:c r="S20" s="154" t="n">
        <x:f>Model!AN20</x:f>
        <x:v>0.9401234994046148</x:v>
      </x:c>
      <x:c r="T20" s="158" t="n">
        <x:f>Model!AK20</x:f>
        <x:v>353.64084</x:v>
      </x:c>
      <x:c r="U20" s="158" t="n">
        <x:f>Model!AL20</x:f>
        <x:v>6800</x:v>
      </x:c>
      <x:c r="V20" s="158" t="n">
        <x:f>Model!AM20</x:f>
        <x:v>7153.64084</x:v>
      </x:c>
      <x:c r="W20" s="135" t="n">
        <x:f>Model!X20</x:f>
        <x:v>99</x:v>
      </x:c>
      <x:c r="X20" s="135" t="n">
        <x:f>Model!Y20</x:f>
        <x:v>0.2</x:v>
      </x:c>
      <x:c r="Y20" s="135" t="n">
        <x:f>Model!Z20</x:f>
        <x:v>0</x:v>
      </x:c>
      <x:c r="Z20" s="135" t="n">
        <x:f>Model!AA20</x:f>
        <x:v>0</x:v>
      </x:c>
      <x:c r="AA20" s="135" t="n">
        <x:f>Model!AB20</x:f>
        <x:v>50</x:v>
      </x:c>
      <x:c r="AB20" s="135" t="n">
        <x:f>Model!AQ20</x:f>
        <x:v>100</x:v>
      </x:c>
      <x:c r="AC20" s="135" t="n">
        <x:f>Model!AR20</x:f>
        <x:v>50</x:v>
      </x:c>
      <x:c r="AD20" s="135" t="n">
        <x:f>Model!AO20</x:f>
        <x:v>37.12816800000001</x:v>
      </x:c>
      <x:c r="AE20" s="135" t="n">
        <x:f>Model!AP20</x:f>
        <x:v>1</x:v>
      </x:c>
      <x:c r="AF20" s="145" t="str">
        <x:f>Model!AS20</x:f>
        <x:v>Manufacturer-informed electricity use; smart charging is a teaching assumption</x:v>
      </x:c>
      <x:c r="AG20" s="145" t="str">
        <x:f>Model!AT20</x:f>
        <x:v>Long shifts test battery runtime, charging and productivity assumptions. | Time-shifts charging and adds temporary battery storage.</x:v>
      </x:c>
      <x:c r="AH20" s="130"/>
      <x:c r="AI20" s="130"/>
      <x:c r="AJ20" s="130"/>
      <x:c r="AK20" s="130"/>
      <x:c r="AL20" s="130"/>
      <x:c r="AM20" s="130"/>
      <x:c r="AN20" s="130"/>
      <x:c r="AO20" s="130"/>
      <x:c r="AP20" s="130"/>
      <x:c r="AQ20" s="130"/>
      <x:c r="AR20" s="130"/>
      <x:c r="AS20" s="130"/>
      <x:c r="AT20" s="130"/>
      <x:c r="AU20" s="130"/>
      <x:c r="AV20" s="130"/>
      <x:c r="AW20" s="130"/>
      <x:c r="AX20" s="130"/>
      <x:c r="AY20" s="130"/>
      <x:c r="AZ20" s="130"/>
    </x:row>
    <x:row r="21">
      <x:c r="A21" s="130"/>
      <x:c r="B21" s="130"/>
      <x:c r="C21" s="130"/>
      <x:c r="D21" s="130"/>
      <x:c r="E21" s="130"/>
      <x:c r="F21" s="130"/>
      <x:c r="G21" s="130"/>
      <x:c r="H21" s="130"/>
      <x:c r="I21" s="130"/>
      <x:c r="J21" s="130"/>
      <x:c r="K21" s="130"/>
      <x:c r="L21" s="130"/>
      <x:c r="M21" s="130"/>
      <x:c r="N21" s="130"/>
      <x:c r="O21" s="130"/>
      <x:c r="P21" s="130"/>
      <x:c r="Q21" s="130"/>
      <x:c r="R21" s="130"/>
      <x:c r="S21" s="130"/>
      <x:c r="T21" s="130"/>
      <x:c r="U21" s="130"/>
      <x:c r="V21" s="130"/>
      <x:c r="W21" s="130"/>
      <x:c r="X21" s="130"/>
      <x:c r="Y21" s="130"/>
      <x:c r="Z21" s="130"/>
      <x:c r="AA21" s="130"/>
      <x:c r="AB21" s="130"/>
      <x:c r="AC21" s="130"/>
      <x:c r="AD21" s="130"/>
      <x:c r="AE21" s="130"/>
      <x:c r="AF21" s="130"/>
      <x:c r="AG21" s="130"/>
      <x:c r="AH21" s="130"/>
      <x:c r="AI21" s="130"/>
      <x:c r="AJ21" s="130"/>
      <x:c r="AK21" s="130"/>
      <x:c r="AL21" s="130"/>
      <x:c r="AM21" s="130"/>
      <x:c r="AN21" s="130"/>
      <x:c r="AO21" s="130"/>
      <x:c r="AP21" s="130"/>
      <x:c r="AQ21" s="130"/>
      <x:c r="AR21" s="130"/>
      <x:c r="AS21" s="130"/>
      <x:c r="AT21" s="130"/>
      <x:c r="AU21" s="130"/>
      <x:c r="AV21" s="130"/>
      <x:c r="AW21" s="130"/>
      <x:c r="AX21" s="130"/>
      <x:c r="AY21" s="130"/>
      <x:c r="AZ21" s="130"/>
    </x:row>
    <x:row r="22">
      <x:c r="A22" s="130"/>
      <x:c r="B22" s="130"/>
      <x:c r="C22" s="130"/>
      <x:c r="D22" s="130"/>
      <x:c r="E22" s="130"/>
      <x:c r="F22" s="130"/>
      <x:c r="G22" s="130"/>
      <x:c r="H22" s="130"/>
      <x:c r="I22" s="130"/>
      <x:c r="J22" s="130"/>
      <x:c r="K22" s="130"/>
      <x:c r="L22" s="130"/>
      <x:c r="M22" s="130"/>
      <x:c r="N22" s="130"/>
      <x:c r="O22" s="130"/>
      <x:c r="P22" s="130"/>
      <x:c r="Q22" s="130"/>
      <x:c r="R22" s="130"/>
      <x:c r="S22" s="130"/>
      <x:c r="T22" s="130"/>
      <x:c r="U22" s="130"/>
      <x:c r="V22" s="130"/>
      <x:c r="W22" s="130"/>
      <x:c r="X22" s="130"/>
      <x:c r="Y22" s="130"/>
      <x:c r="Z22" s="130"/>
      <x:c r="AA22" s="130"/>
      <x:c r="AB22" s="130"/>
      <x:c r="AC22" s="130"/>
      <x:c r="AD22" s="130"/>
      <x:c r="AE22" s="130"/>
      <x:c r="AF22" s="130"/>
      <x:c r="AG22" s="130"/>
      <x:c r="AH22" s="130"/>
      <x:c r="AI22" s="130"/>
      <x:c r="AJ22" s="130"/>
      <x:c r="AK22" s="130"/>
      <x:c r="AL22" s="130"/>
      <x:c r="AM22" s="130"/>
      <x:c r="AN22" s="130"/>
      <x:c r="AO22" s="130"/>
      <x:c r="AP22" s="130"/>
      <x:c r="AQ22" s="130"/>
      <x:c r="AR22" s="130"/>
      <x:c r="AS22" s="130"/>
      <x:c r="AT22" s="130"/>
      <x:c r="AU22" s="130"/>
      <x:c r="AV22" s="130"/>
      <x:c r="AW22" s="130"/>
      <x:c r="AX22" s="130"/>
      <x:c r="AY22" s="130"/>
      <x:c r="AZ22" s="130"/>
    </x:row>
    <x:row r="23">
      <x:c r="A23" s="130"/>
      <x:c r="B23" s="130"/>
      <x:c r="C23" s="130"/>
      <x:c r="D23" s="130"/>
      <x:c r="E23" s="130"/>
      <x:c r="F23" s="130"/>
      <x:c r="G23" s="130"/>
      <x:c r="H23" s="130"/>
      <x:c r="I23" s="130"/>
      <x:c r="J23" s="130"/>
      <x:c r="K23" s="130"/>
      <x:c r="L23" s="130"/>
      <x:c r="M23" s="130"/>
      <x:c r="N23" s="130"/>
      <x:c r="O23" s="130"/>
      <x:c r="P23" s="130"/>
      <x:c r="Q23" s="130"/>
      <x:c r="R23" s="130"/>
      <x:c r="S23" s="130"/>
      <x:c r="T23" s="130"/>
      <x:c r="U23" s="130"/>
      <x:c r="V23" s="130"/>
      <x:c r="W23" s="130"/>
      <x:c r="X23" s="130"/>
      <x:c r="Y23" s="130"/>
      <x:c r="Z23" s="130"/>
      <x:c r="AA23" s="130"/>
      <x:c r="AB23" s="130"/>
      <x:c r="AC23" s="130"/>
      <x:c r="AD23" s="130"/>
      <x:c r="AE23" s="130"/>
      <x:c r="AF23" s="130"/>
      <x:c r="AG23" s="130"/>
      <x:c r="AH23" s="130"/>
      <x:c r="AI23" s="130"/>
      <x:c r="AJ23" s="130"/>
      <x:c r="AK23" s="130"/>
      <x:c r="AL23" s="130"/>
      <x:c r="AM23" s="130"/>
      <x:c r="AN23" s="130"/>
      <x:c r="AO23" s="130"/>
      <x:c r="AP23" s="130"/>
      <x:c r="AQ23" s="130"/>
      <x:c r="AR23" s="130"/>
      <x:c r="AS23" s="130"/>
      <x:c r="AT23" s="130"/>
      <x:c r="AU23" s="130"/>
      <x:c r="AV23" s="130"/>
      <x:c r="AW23" s="130"/>
      <x:c r="AX23" s="130"/>
      <x:c r="AY23" s="130"/>
      <x:c r="AZ23" s="130"/>
    </x:row>
    <x:row r="24">
      <x:c r="A24" s="130"/>
      <x:c r="B24" s="130"/>
      <x:c r="C24" s="130"/>
      <x:c r="D24" s="130"/>
      <x:c r="E24" s="130"/>
      <x:c r="F24" s="130"/>
      <x:c r="G24" s="130"/>
      <x:c r="H24" s="130"/>
      <x:c r="I24" s="130"/>
      <x:c r="J24" s="130"/>
      <x:c r="K24" s="130"/>
      <x:c r="L24" s="130"/>
      <x:c r="M24" s="130"/>
      <x:c r="N24" s="130"/>
      <x:c r="O24" s="130"/>
      <x:c r="P24" s="130"/>
      <x:c r="Q24" s="130"/>
      <x:c r="R24" s="130"/>
      <x:c r="S24" s="130"/>
      <x:c r="T24" s="130"/>
      <x:c r="U24" s="130"/>
      <x:c r="V24" s="130"/>
      <x:c r="W24" s="130"/>
      <x:c r="X24" s="130"/>
      <x:c r="Y24" s="130"/>
      <x:c r="Z24" s="130"/>
      <x:c r="AA24" s="130"/>
      <x:c r="AB24" s="130"/>
      <x:c r="AC24" s="130"/>
      <x:c r="AD24" s="130"/>
      <x:c r="AE24" s="130"/>
      <x:c r="AF24" s="130"/>
      <x:c r="AG24" s="130"/>
      <x:c r="AH24" s="130"/>
      <x:c r="AI24" s="130"/>
      <x:c r="AJ24" s="130"/>
      <x:c r="AK24" s="130"/>
      <x:c r="AL24" s="130"/>
      <x:c r="AM24" s="130"/>
      <x:c r="AN24" s="130"/>
      <x:c r="AO24" s="130"/>
      <x:c r="AP24" s="130"/>
      <x:c r="AQ24" s="130"/>
      <x:c r="AR24" s="130"/>
      <x:c r="AS24" s="130"/>
      <x:c r="AT24" s="130"/>
      <x:c r="AU24" s="130"/>
      <x:c r="AV24" s="130"/>
      <x:c r="AW24" s="130"/>
      <x:c r="AX24" s="130"/>
      <x:c r="AY24" s="130"/>
      <x:c r="AZ24" s="130"/>
    </x:row>
    <x:row r="25">
      <x:c r="A25" s="130"/>
      <x:c r="B25" s="130"/>
      <x:c r="C25" s="130"/>
      <x:c r="D25" s="130"/>
      <x:c r="E25" s="130"/>
      <x:c r="F25" s="130"/>
      <x:c r="G25" s="130"/>
      <x:c r="H25" s="130"/>
      <x:c r="I25" s="130"/>
      <x:c r="J25" s="130"/>
      <x:c r="K25" s="130"/>
      <x:c r="L25" s="130"/>
      <x:c r="M25" s="130"/>
      <x:c r="N25" s="130"/>
      <x:c r="O25" s="130"/>
      <x:c r="P25" s="130"/>
      <x:c r="Q25" s="130"/>
      <x:c r="R25" s="130"/>
      <x:c r="S25" s="130"/>
      <x:c r="T25" s="130"/>
      <x:c r="U25" s="130"/>
      <x:c r="V25" s="130"/>
      <x:c r="W25" s="130"/>
      <x:c r="X25" s="130"/>
      <x:c r="Y25" s="130"/>
      <x:c r="Z25" s="130"/>
      <x:c r="AA25" s="130"/>
      <x:c r="AB25" s="130"/>
      <x:c r="AC25" s="130"/>
      <x:c r="AD25" s="130"/>
      <x:c r="AE25" s="130"/>
      <x:c r="AF25" s="130"/>
      <x:c r="AG25" s="130"/>
      <x:c r="AH25" s="130"/>
      <x:c r="AI25" s="130"/>
      <x:c r="AJ25" s="130"/>
      <x:c r="AK25" s="130"/>
      <x:c r="AL25" s="130"/>
      <x:c r="AM25" s="130"/>
      <x:c r="AN25" s="130"/>
      <x:c r="AO25" s="130"/>
      <x:c r="AP25" s="130"/>
      <x:c r="AQ25" s="130"/>
      <x:c r="AR25" s="130"/>
      <x:c r="AS25" s="130"/>
      <x:c r="AT25" s="130"/>
      <x:c r="AU25" s="130"/>
      <x:c r="AV25" s="130"/>
      <x:c r="AW25" s="130"/>
      <x:c r="AX25" s="130"/>
      <x:c r="AY25" s="130"/>
      <x:c r="AZ25" s="130"/>
    </x:row>
    <x:row r="26">
      <x:c r="A26" s="130"/>
      <x:c r="B26" s="130"/>
      <x:c r="C26" s="130"/>
      <x:c r="D26" s="130"/>
      <x:c r="E26" s="130"/>
      <x:c r="F26" s="130"/>
      <x:c r="G26" s="130"/>
      <x:c r="H26" s="130"/>
      <x:c r="I26" s="130"/>
      <x:c r="J26" s="130"/>
      <x:c r="K26" s="130"/>
      <x:c r="L26" s="130"/>
      <x:c r="M26" s="130"/>
      <x:c r="N26" s="130"/>
      <x:c r="O26" s="130"/>
      <x:c r="P26" s="130"/>
      <x:c r="Q26" s="130"/>
      <x:c r="R26" s="130"/>
      <x:c r="S26" s="130"/>
      <x:c r="T26" s="130"/>
      <x:c r="U26" s="130"/>
      <x:c r="V26" s="130"/>
      <x:c r="W26" s="130"/>
      <x:c r="X26" s="130"/>
      <x:c r="Y26" s="130"/>
      <x:c r="Z26" s="130"/>
      <x:c r="AA26" s="130"/>
      <x:c r="AB26" s="130"/>
      <x:c r="AC26" s="130"/>
      <x:c r="AD26" s="130"/>
      <x:c r="AE26" s="130"/>
      <x:c r="AF26" s="130"/>
      <x:c r="AG26" s="130"/>
      <x:c r="AH26" s="130"/>
      <x:c r="AI26" s="130"/>
      <x:c r="AJ26" s="130"/>
      <x:c r="AK26" s="130"/>
      <x:c r="AL26" s="130"/>
      <x:c r="AM26" s="130"/>
      <x:c r="AN26" s="130"/>
      <x:c r="AO26" s="130"/>
      <x:c r="AP26" s="130"/>
      <x:c r="AQ26" s="130"/>
      <x:c r="AR26" s="130"/>
      <x:c r="AS26" s="130"/>
      <x:c r="AT26" s="130"/>
      <x:c r="AU26" s="130"/>
      <x:c r="AV26" s="130"/>
      <x:c r="AW26" s="130"/>
      <x:c r="AX26" s="130"/>
      <x:c r="AY26" s="130"/>
      <x:c r="AZ26" s="130"/>
    </x:row>
    <x:row r="27">
      <x:c r="A27" s="130"/>
      <x:c r="B27" s="130"/>
      <x:c r="C27" s="130"/>
      <x:c r="D27" s="130"/>
      <x:c r="E27" s="130"/>
      <x:c r="F27" s="130"/>
      <x:c r="G27" s="130"/>
      <x:c r="H27" s="130"/>
      <x:c r="I27" s="130"/>
      <x:c r="J27" s="130"/>
      <x:c r="K27" s="130"/>
      <x:c r="L27" s="130"/>
      <x:c r="M27" s="130"/>
      <x:c r="N27" s="130"/>
      <x:c r="O27" s="130"/>
      <x:c r="P27" s="130"/>
      <x:c r="Q27" s="130"/>
      <x:c r="R27" s="130"/>
      <x:c r="S27" s="130"/>
      <x:c r="T27" s="130"/>
      <x:c r="U27" s="130"/>
      <x:c r="V27" s="130"/>
      <x:c r="W27" s="130"/>
      <x:c r="X27" s="130"/>
      <x:c r="Y27" s="130"/>
      <x:c r="Z27" s="130"/>
      <x:c r="AA27" s="130"/>
      <x:c r="AB27" s="130"/>
      <x:c r="AC27" s="130"/>
      <x:c r="AD27" s="130"/>
      <x:c r="AE27" s="130"/>
      <x:c r="AF27" s="130"/>
      <x:c r="AG27" s="130"/>
      <x:c r="AH27" s="130"/>
      <x:c r="AI27" s="130"/>
      <x:c r="AJ27" s="130"/>
      <x:c r="AK27" s="130"/>
      <x:c r="AL27" s="130"/>
      <x:c r="AM27" s="130"/>
      <x:c r="AN27" s="130"/>
      <x:c r="AO27" s="130"/>
      <x:c r="AP27" s="130"/>
      <x:c r="AQ27" s="130"/>
      <x:c r="AR27" s="130"/>
      <x:c r="AS27" s="130"/>
      <x:c r="AT27" s="130"/>
      <x:c r="AU27" s="130"/>
      <x:c r="AV27" s="130"/>
      <x:c r="AW27" s="130"/>
      <x:c r="AX27" s="130"/>
      <x:c r="AY27" s="130"/>
      <x:c r="AZ27" s="130"/>
    </x:row>
    <x:row r="28">
      <x:c r="A28" s="130"/>
      <x:c r="B28" s="130"/>
      <x:c r="C28" s="130"/>
      <x:c r="D28" s="130"/>
      <x:c r="E28" s="130"/>
      <x:c r="F28" s="130"/>
      <x:c r="G28" s="130"/>
      <x:c r="H28" s="130"/>
      <x:c r="I28" s="130"/>
      <x:c r="J28" s="130"/>
      <x:c r="K28" s="130"/>
      <x:c r="L28" s="130"/>
      <x:c r="M28" s="130"/>
      <x:c r="N28" s="130"/>
      <x:c r="O28" s="130"/>
      <x:c r="P28" s="130"/>
      <x:c r="Q28" s="130"/>
      <x:c r="R28" s="130"/>
      <x:c r="S28" s="130"/>
      <x:c r="T28" s="130"/>
      <x:c r="U28" s="130"/>
      <x:c r="V28" s="130"/>
      <x:c r="W28" s="130"/>
      <x:c r="X28" s="130"/>
      <x:c r="Y28" s="130"/>
      <x:c r="Z28" s="130"/>
      <x:c r="AA28" s="130"/>
      <x:c r="AB28" s="130"/>
      <x:c r="AC28" s="130"/>
      <x:c r="AD28" s="130"/>
      <x:c r="AE28" s="130"/>
      <x:c r="AF28" s="130"/>
      <x:c r="AG28" s="130"/>
      <x:c r="AH28" s="130"/>
      <x:c r="AI28" s="130"/>
      <x:c r="AJ28" s="130"/>
      <x:c r="AK28" s="130"/>
      <x:c r="AL28" s="130"/>
      <x:c r="AM28" s="130"/>
      <x:c r="AN28" s="130"/>
      <x:c r="AO28" s="130"/>
      <x:c r="AP28" s="130"/>
      <x:c r="AQ28" s="130"/>
      <x:c r="AR28" s="130"/>
      <x:c r="AS28" s="130"/>
      <x:c r="AT28" s="130"/>
      <x:c r="AU28" s="130"/>
      <x:c r="AV28" s="130"/>
      <x:c r="AW28" s="130"/>
      <x:c r="AX28" s="130"/>
      <x:c r="AY28" s="130"/>
      <x:c r="AZ28" s="130"/>
    </x:row>
    <x:row r="29">
      <x:c r="A29" s="130"/>
      <x:c r="B29" s="130"/>
      <x:c r="C29" s="130"/>
      <x:c r="D29" s="130"/>
      <x:c r="E29" s="130"/>
      <x:c r="F29" s="130"/>
      <x:c r="G29" s="130"/>
      <x:c r="H29" s="130"/>
      <x:c r="I29" s="130"/>
      <x:c r="J29" s="130"/>
      <x:c r="K29" s="130"/>
      <x:c r="L29" s="130"/>
      <x:c r="M29" s="130"/>
      <x:c r="N29" s="130"/>
      <x:c r="O29" s="130"/>
      <x:c r="P29" s="130"/>
      <x:c r="Q29" s="130"/>
      <x:c r="R29" s="130"/>
      <x:c r="S29" s="130"/>
      <x:c r="T29" s="130"/>
      <x:c r="U29" s="130"/>
      <x:c r="V29" s="130"/>
      <x:c r="W29" s="130"/>
      <x:c r="X29" s="130"/>
      <x:c r="Y29" s="130"/>
      <x:c r="Z29" s="130"/>
      <x:c r="AA29" s="130"/>
      <x:c r="AB29" s="130"/>
      <x:c r="AC29" s="130"/>
      <x:c r="AD29" s="130"/>
      <x:c r="AE29" s="130"/>
      <x:c r="AF29" s="130"/>
      <x:c r="AG29" s="130"/>
      <x:c r="AH29" s="130"/>
      <x:c r="AI29" s="130"/>
      <x:c r="AJ29" s="130"/>
      <x:c r="AK29" s="130"/>
      <x:c r="AL29" s="130"/>
      <x:c r="AM29" s="130"/>
      <x:c r="AN29" s="130"/>
      <x:c r="AO29" s="130"/>
      <x:c r="AP29" s="130"/>
      <x:c r="AQ29" s="130"/>
      <x:c r="AR29" s="130"/>
      <x:c r="AS29" s="130"/>
      <x:c r="AT29" s="130"/>
      <x:c r="AU29" s="130"/>
      <x:c r="AV29" s="130"/>
      <x:c r="AW29" s="130"/>
      <x:c r="AX29" s="130"/>
      <x:c r="AY29" s="130"/>
      <x:c r="AZ29" s="130"/>
    </x:row>
    <x:row r="30">
      <x:c r="A30" s="130"/>
      <x:c r="B30" s="130"/>
      <x:c r="C30" s="130"/>
      <x:c r="D30" s="130"/>
      <x:c r="E30" s="130"/>
      <x:c r="F30" s="130"/>
      <x:c r="G30" s="130"/>
      <x:c r="H30" s="130"/>
      <x:c r="I30" s="130"/>
      <x:c r="J30" s="130"/>
      <x:c r="K30" s="130"/>
      <x:c r="L30" s="130"/>
      <x:c r="M30" s="130"/>
      <x:c r="N30" s="130"/>
      <x:c r="O30" s="130"/>
      <x:c r="P30" s="130"/>
      <x:c r="Q30" s="130"/>
      <x:c r="R30" s="130"/>
      <x:c r="S30" s="130"/>
      <x:c r="T30" s="130"/>
      <x:c r="U30" s="130"/>
      <x:c r="V30" s="130"/>
      <x:c r="W30" s="130"/>
      <x:c r="X30" s="130"/>
      <x:c r="Y30" s="130"/>
      <x:c r="Z30" s="130"/>
      <x:c r="AA30" s="130"/>
      <x:c r="AB30" s="130"/>
      <x:c r="AC30" s="130"/>
      <x:c r="AD30" s="130"/>
      <x:c r="AE30" s="130"/>
      <x:c r="AF30" s="130"/>
      <x:c r="AG30" s="130"/>
      <x:c r="AH30" s="130"/>
      <x:c r="AI30" s="130"/>
      <x:c r="AJ30" s="130"/>
      <x:c r="AK30" s="130"/>
      <x:c r="AL30" s="130"/>
      <x:c r="AM30" s="130"/>
      <x:c r="AN30" s="130"/>
      <x:c r="AO30" s="130"/>
      <x:c r="AP30" s="130"/>
      <x:c r="AQ30" s="130"/>
      <x:c r="AR30" s="130"/>
      <x:c r="AS30" s="130"/>
      <x:c r="AT30" s="130"/>
      <x:c r="AU30" s="130"/>
      <x:c r="AV30" s="130"/>
      <x:c r="AW30" s="130"/>
      <x:c r="AX30" s="130"/>
      <x:c r="AY30" s="130"/>
      <x:c r="AZ30" s="130"/>
    </x:row>
    <x:row r="31">
      <x:c r="A31" s="130"/>
      <x:c r="B31" s="130"/>
      <x:c r="C31" s="130"/>
      <x:c r="D31" s="130"/>
      <x:c r="E31" s="130"/>
      <x:c r="F31" s="130"/>
      <x:c r="G31" s="130"/>
      <x:c r="H31" s="130"/>
      <x:c r="I31" s="130"/>
      <x:c r="J31" s="130"/>
      <x:c r="K31" s="130"/>
      <x:c r="L31" s="130"/>
      <x:c r="M31" s="130"/>
      <x:c r="N31" s="130"/>
      <x:c r="O31" s="130"/>
      <x:c r="P31" s="130"/>
      <x:c r="Q31" s="130"/>
      <x:c r="R31" s="130"/>
      <x:c r="S31" s="130"/>
      <x:c r="T31" s="130"/>
      <x:c r="U31" s="130"/>
      <x:c r="V31" s="130"/>
      <x:c r="W31" s="130"/>
      <x:c r="X31" s="130"/>
      <x:c r="Y31" s="130"/>
      <x:c r="Z31" s="130"/>
      <x:c r="AA31" s="130"/>
      <x:c r="AB31" s="130"/>
      <x:c r="AC31" s="130"/>
      <x:c r="AD31" s="130"/>
      <x:c r="AE31" s="130"/>
      <x:c r="AF31" s="130"/>
      <x:c r="AG31" s="130"/>
      <x:c r="AH31" s="130"/>
      <x:c r="AI31" s="130"/>
      <x:c r="AJ31" s="130"/>
      <x:c r="AK31" s="130"/>
      <x:c r="AL31" s="130"/>
      <x:c r="AM31" s="130"/>
      <x:c r="AN31" s="130"/>
      <x:c r="AO31" s="130"/>
      <x:c r="AP31" s="130"/>
      <x:c r="AQ31" s="130"/>
      <x:c r="AR31" s="130"/>
      <x:c r="AS31" s="130"/>
      <x:c r="AT31" s="130"/>
      <x:c r="AU31" s="130"/>
      <x:c r="AV31" s="130"/>
      <x:c r="AW31" s="130"/>
      <x:c r="AX31" s="130"/>
      <x:c r="AY31" s="130"/>
      <x:c r="AZ31" s="130"/>
    </x:row>
    <x:row r="32">
      <x:c r="A32" s="130"/>
      <x:c r="B32" s="130"/>
      <x:c r="C32" s="130"/>
      <x:c r="D32" s="130"/>
      <x:c r="E32" s="130"/>
      <x:c r="F32" s="130"/>
      <x:c r="G32" s="130"/>
      <x:c r="H32" s="130"/>
      <x:c r="I32" s="130"/>
      <x:c r="J32" s="130"/>
      <x:c r="K32" s="130"/>
      <x:c r="L32" s="130"/>
      <x:c r="M32" s="130"/>
      <x:c r="N32" s="130"/>
      <x:c r="O32" s="130"/>
      <x:c r="P32" s="130"/>
      <x:c r="Q32" s="130"/>
      <x:c r="R32" s="130"/>
      <x:c r="S32" s="130"/>
      <x:c r="T32" s="130"/>
      <x:c r="U32" s="130"/>
      <x:c r="V32" s="130"/>
      <x:c r="W32" s="130"/>
      <x:c r="X32" s="130"/>
      <x:c r="Y32" s="130"/>
      <x:c r="Z32" s="130"/>
      <x:c r="AA32" s="130"/>
      <x:c r="AB32" s="130"/>
      <x:c r="AC32" s="130"/>
      <x:c r="AD32" s="130"/>
      <x:c r="AE32" s="130"/>
      <x:c r="AF32" s="130"/>
      <x:c r="AG32" s="130"/>
      <x:c r="AH32" s="130"/>
      <x:c r="AI32" s="130"/>
      <x:c r="AJ32" s="130"/>
      <x:c r="AK32" s="130"/>
      <x:c r="AL32" s="130"/>
      <x:c r="AM32" s="130"/>
      <x:c r="AN32" s="130"/>
      <x:c r="AO32" s="130"/>
      <x:c r="AP32" s="130"/>
      <x:c r="AQ32" s="130"/>
      <x:c r="AR32" s="130"/>
      <x:c r="AS32" s="130"/>
      <x:c r="AT32" s="130"/>
      <x:c r="AU32" s="130"/>
      <x:c r="AV32" s="130"/>
      <x:c r="AW32" s="130"/>
      <x:c r="AX32" s="130"/>
      <x:c r="AY32" s="130"/>
      <x:c r="AZ32" s="130"/>
    </x:row>
    <x:row r="33">
      <x:c r="A33" s="130"/>
      <x:c r="B33" s="130"/>
      <x:c r="C33" s="130"/>
      <x:c r="D33" s="130"/>
      <x:c r="E33" s="130"/>
      <x:c r="F33" s="130"/>
      <x:c r="G33" s="130"/>
      <x:c r="H33" s="130"/>
      <x:c r="I33" s="130"/>
      <x:c r="J33" s="130"/>
      <x:c r="K33" s="130"/>
      <x:c r="L33" s="130"/>
      <x:c r="M33" s="130"/>
      <x:c r="N33" s="130"/>
      <x:c r="O33" s="130"/>
      <x:c r="P33" s="130"/>
      <x:c r="Q33" s="130"/>
      <x:c r="R33" s="130"/>
      <x:c r="S33" s="130"/>
      <x:c r="T33" s="130"/>
      <x:c r="U33" s="130"/>
      <x:c r="V33" s="130"/>
      <x:c r="W33" s="130"/>
      <x:c r="X33" s="130"/>
      <x:c r="Y33" s="130"/>
      <x:c r="Z33" s="130"/>
      <x:c r="AA33" s="130"/>
      <x:c r="AB33" s="130"/>
      <x:c r="AC33" s="130"/>
      <x:c r="AD33" s="130"/>
      <x:c r="AE33" s="130"/>
      <x:c r="AF33" s="130"/>
      <x:c r="AG33" s="130"/>
      <x:c r="AH33" s="130"/>
      <x:c r="AI33" s="130"/>
      <x:c r="AJ33" s="130"/>
      <x:c r="AK33" s="130"/>
      <x:c r="AL33" s="130"/>
      <x:c r="AM33" s="130"/>
      <x:c r="AN33" s="130"/>
      <x:c r="AO33" s="130"/>
      <x:c r="AP33" s="130"/>
      <x:c r="AQ33" s="130"/>
      <x:c r="AR33" s="130"/>
      <x:c r="AS33" s="130"/>
      <x:c r="AT33" s="130"/>
      <x:c r="AU33" s="130"/>
      <x:c r="AV33" s="130"/>
      <x:c r="AW33" s="130"/>
      <x:c r="AX33" s="130"/>
      <x:c r="AY33" s="130"/>
      <x:c r="AZ33" s="130"/>
    </x:row>
    <x:row r="34">
      <x:c r="A34" s="130"/>
      <x:c r="B34" s="130"/>
      <x:c r="C34" s="130"/>
      <x:c r="D34" s="130"/>
      <x:c r="E34" s="130"/>
      <x:c r="F34" s="130"/>
      <x:c r="G34" s="130"/>
      <x:c r="H34" s="130"/>
      <x:c r="I34" s="130"/>
      <x:c r="J34" s="130"/>
      <x:c r="K34" s="130"/>
      <x:c r="L34" s="130"/>
      <x:c r="M34" s="130"/>
      <x:c r="N34" s="130"/>
      <x:c r="O34" s="130"/>
      <x:c r="P34" s="130"/>
      <x:c r="Q34" s="130"/>
      <x:c r="R34" s="130"/>
      <x:c r="S34" s="130"/>
      <x:c r="T34" s="130"/>
      <x:c r="U34" s="130"/>
      <x:c r="V34" s="130"/>
      <x:c r="W34" s="130"/>
      <x:c r="X34" s="130"/>
      <x:c r="Y34" s="130"/>
      <x:c r="Z34" s="130"/>
      <x:c r="AA34" s="130"/>
      <x:c r="AB34" s="130"/>
      <x:c r="AC34" s="130"/>
      <x:c r="AD34" s="130"/>
      <x:c r="AE34" s="130"/>
      <x:c r="AF34" s="130"/>
      <x:c r="AG34" s="130"/>
      <x:c r="AH34" s="130"/>
      <x:c r="AI34" s="130"/>
      <x:c r="AJ34" s="130"/>
      <x:c r="AK34" s="130"/>
      <x:c r="AL34" s="130"/>
      <x:c r="AM34" s="130"/>
      <x:c r="AN34" s="130"/>
      <x:c r="AO34" s="130"/>
      <x:c r="AP34" s="130"/>
      <x:c r="AQ34" s="130"/>
      <x:c r="AR34" s="130"/>
      <x:c r="AS34" s="130"/>
      <x:c r="AT34" s="130"/>
      <x:c r="AU34" s="130"/>
      <x:c r="AV34" s="130"/>
      <x:c r="AW34" s="130"/>
      <x:c r="AX34" s="130"/>
      <x:c r="AY34" s="130"/>
      <x:c r="AZ34" s="130"/>
    </x:row>
    <x:row r="35">
      <x:c r="A35" s="130"/>
      <x:c r="B35" s="130"/>
      <x:c r="C35" s="130"/>
      <x:c r="D35" s="130"/>
      <x:c r="E35" s="130"/>
      <x:c r="F35" s="130"/>
      <x:c r="G35" s="130"/>
      <x:c r="H35" s="130"/>
      <x:c r="I35" s="130"/>
      <x:c r="J35" s="130"/>
      <x:c r="K35" s="130"/>
      <x:c r="L35" s="130"/>
      <x:c r="M35" s="130"/>
      <x:c r="N35" s="130"/>
      <x:c r="O35" s="130"/>
      <x:c r="P35" s="130"/>
      <x:c r="Q35" s="130"/>
      <x:c r="R35" s="130"/>
      <x:c r="S35" s="130"/>
      <x:c r="T35" s="130"/>
      <x:c r="U35" s="130"/>
      <x:c r="V35" s="130"/>
      <x:c r="W35" s="130"/>
      <x:c r="X35" s="130"/>
      <x:c r="Y35" s="130"/>
      <x:c r="Z35" s="130"/>
      <x:c r="AA35" s="130"/>
      <x:c r="AB35" s="130"/>
      <x:c r="AC35" s="130"/>
      <x:c r="AD35" s="130"/>
      <x:c r="AE35" s="130"/>
      <x:c r="AF35" s="130"/>
      <x:c r="AG35" s="130"/>
      <x:c r="AH35" s="130"/>
      <x:c r="AI35" s="130"/>
      <x:c r="AJ35" s="130"/>
      <x:c r="AK35" s="130"/>
      <x:c r="AL35" s="130"/>
      <x:c r="AM35" s="130"/>
      <x:c r="AN35" s="130"/>
      <x:c r="AO35" s="130"/>
      <x:c r="AP35" s="130"/>
      <x:c r="AQ35" s="130"/>
      <x:c r="AR35" s="130"/>
      <x:c r="AS35" s="130"/>
      <x:c r="AT35" s="130"/>
      <x:c r="AU35" s="130"/>
      <x:c r="AV35" s="130"/>
      <x:c r="AW35" s="130"/>
      <x:c r="AX35" s="130"/>
      <x:c r="AY35" s="130"/>
      <x:c r="AZ35" s="130"/>
    </x:row>
    <x:row r="36">
      <x:c r="A36" s="130"/>
      <x:c r="B36" s="130"/>
      <x:c r="C36" s="130"/>
      <x:c r="D36" s="130"/>
      <x:c r="E36" s="130"/>
      <x:c r="F36" s="130"/>
      <x:c r="G36" s="130"/>
      <x:c r="H36" s="130"/>
      <x:c r="I36" s="130"/>
      <x:c r="J36" s="130"/>
      <x:c r="K36" s="130"/>
      <x:c r="L36" s="130"/>
      <x:c r="M36" s="130"/>
      <x:c r="N36" s="130"/>
      <x:c r="O36" s="130"/>
      <x:c r="P36" s="130"/>
      <x:c r="Q36" s="130"/>
      <x:c r="R36" s="130"/>
      <x:c r="S36" s="130"/>
      <x:c r="T36" s="130"/>
      <x:c r="U36" s="130"/>
      <x:c r="V36" s="130"/>
      <x:c r="W36" s="130"/>
      <x:c r="X36" s="130"/>
      <x:c r="Y36" s="130"/>
      <x:c r="Z36" s="130"/>
      <x:c r="AA36" s="130"/>
      <x:c r="AB36" s="130"/>
      <x:c r="AC36" s="130"/>
      <x:c r="AD36" s="130"/>
      <x:c r="AE36" s="130"/>
      <x:c r="AF36" s="130"/>
      <x:c r="AG36" s="130"/>
      <x:c r="AH36" s="130"/>
      <x:c r="AI36" s="130"/>
      <x:c r="AJ36" s="130"/>
      <x:c r="AK36" s="130"/>
      <x:c r="AL36" s="130"/>
      <x:c r="AM36" s="130"/>
      <x:c r="AN36" s="130"/>
      <x:c r="AO36" s="130"/>
      <x:c r="AP36" s="130"/>
      <x:c r="AQ36" s="130"/>
      <x:c r="AR36" s="130"/>
      <x:c r="AS36" s="130"/>
      <x:c r="AT36" s="130"/>
      <x:c r="AU36" s="130"/>
      <x:c r="AV36" s="130"/>
      <x:c r="AW36" s="130"/>
      <x:c r="AX36" s="130"/>
      <x:c r="AY36" s="130"/>
      <x:c r="AZ36" s="130"/>
    </x:row>
    <x:row r="37">
      <x:c r="A37" s="130"/>
      <x:c r="B37" s="130"/>
      <x:c r="C37" s="130"/>
      <x:c r="D37" s="130"/>
      <x:c r="E37" s="130"/>
      <x:c r="F37" s="130"/>
      <x:c r="G37" s="130"/>
      <x:c r="H37" s="130"/>
      <x:c r="I37" s="130"/>
      <x:c r="J37" s="130"/>
      <x:c r="K37" s="130"/>
      <x:c r="L37" s="130"/>
      <x:c r="M37" s="130"/>
      <x:c r="N37" s="130"/>
      <x:c r="O37" s="130"/>
      <x:c r="P37" s="130"/>
      <x:c r="Q37" s="130"/>
      <x:c r="R37" s="130"/>
      <x:c r="S37" s="130"/>
      <x:c r="T37" s="130"/>
      <x:c r="U37" s="130"/>
      <x:c r="V37" s="130"/>
      <x:c r="W37" s="130"/>
      <x:c r="X37" s="130"/>
      <x:c r="Y37" s="130"/>
      <x:c r="Z37" s="130"/>
      <x:c r="AA37" s="130"/>
      <x:c r="AB37" s="130"/>
      <x:c r="AC37" s="130"/>
      <x:c r="AD37" s="130"/>
      <x:c r="AE37" s="130"/>
      <x:c r="AF37" s="130"/>
      <x:c r="AG37" s="130"/>
      <x:c r="AH37" s="130"/>
      <x:c r="AI37" s="130"/>
      <x:c r="AJ37" s="130"/>
      <x:c r="AK37" s="130"/>
      <x:c r="AL37" s="130"/>
      <x:c r="AM37" s="130"/>
      <x:c r="AN37" s="130"/>
      <x:c r="AO37" s="130"/>
      <x:c r="AP37" s="130"/>
      <x:c r="AQ37" s="130"/>
      <x:c r="AR37" s="130"/>
      <x:c r="AS37" s="130"/>
      <x:c r="AT37" s="130"/>
      <x:c r="AU37" s="130"/>
      <x:c r="AV37" s="130"/>
      <x:c r="AW37" s="130"/>
      <x:c r="AX37" s="130"/>
      <x:c r="AY37" s="130"/>
      <x:c r="AZ37" s="130"/>
    </x:row>
    <x:row r="38">
      <x:c r="A38" s="130"/>
      <x:c r="B38" s="130"/>
      <x:c r="C38" s="130"/>
      <x:c r="D38" s="130"/>
      <x:c r="E38" s="130"/>
      <x:c r="F38" s="130"/>
      <x:c r="G38" s="130"/>
      <x:c r="H38" s="130"/>
      <x:c r="I38" s="130"/>
      <x:c r="J38" s="130"/>
      <x:c r="K38" s="130"/>
      <x:c r="L38" s="130"/>
      <x:c r="M38" s="130"/>
      <x:c r="N38" s="130"/>
      <x:c r="O38" s="130"/>
      <x:c r="P38" s="130"/>
      <x:c r="Q38" s="130"/>
      <x:c r="R38" s="130"/>
      <x:c r="S38" s="130"/>
      <x:c r="T38" s="130"/>
      <x:c r="U38" s="130"/>
      <x:c r="V38" s="130"/>
      <x:c r="W38" s="130"/>
      <x:c r="X38" s="130"/>
      <x:c r="Y38" s="130"/>
      <x:c r="Z38" s="130"/>
      <x:c r="AA38" s="130"/>
      <x:c r="AB38" s="130"/>
      <x:c r="AC38" s="130"/>
      <x:c r="AD38" s="130"/>
      <x:c r="AE38" s="130"/>
      <x:c r="AF38" s="130"/>
      <x:c r="AG38" s="130"/>
      <x:c r="AH38" s="130"/>
      <x:c r="AI38" s="130"/>
      <x:c r="AJ38" s="130"/>
      <x:c r="AK38" s="130"/>
      <x:c r="AL38" s="130"/>
      <x:c r="AM38" s="130"/>
      <x:c r="AN38" s="130"/>
      <x:c r="AO38" s="130"/>
      <x:c r="AP38" s="130"/>
      <x:c r="AQ38" s="130"/>
      <x:c r="AR38" s="130"/>
      <x:c r="AS38" s="130"/>
      <x:c r="AT38" s="130"/>
      <x:c r="AU38" s="130"/>
      <x:c r="AV38" s="130"/>
      <x:c r="AW38" s="130"/>
      <x:c r="AX38" s="130"/>
      <x:c r="AY38" s="130"/>
      <x:c r="AZ38" s="130"/>
    </x:row>
    <x:row r="39">
      <x:c r="A39" s="130"/>
      <x:c r="B39" s="130"/>
      <x:c r="C39" s="130"/>
      <x:c r="D39" s="130"/>
      <x:c r="E39" s="130"/>
      <x:c r="F39" s="130"/>
      <x:c r="G39" s="130"/>
      <x:c r="H39" s="130"/>
      <x:c r="I39" s="130"/>
      <x:c r="J39" s="130"/>
      <x:c r="K39" s="130"/>
      <x:c r="L39" s="130"/>
      <x:c r="M39" s="130"/>
      <x:c r="N39" s="130"/>
      <x:c r="O39" s="130"/>
      <x:c r="P39" s="130"/>
      <x:c r="Q39" s="130"/>
      <x:c r="R39" s="130"/>
      <x:c r="S39" s="130"/>
      <x:c r="T39" s="130"/>
      <x:c r="U39" s="130"/>
      <x:c r="V39" s="130"/>
      <x:c r="W39" s="130"/>
      <x:c r="X39" s="130"/>
      <x:c r="Y39" s="130"/>
      <x:c r="Z39" s="130"/>
      <x:c r="AA39" s="130"/>
      <x:c r="AB39" s="130"/>
      <x:c r="AC39" s="130"/>
      <x:c r="AD39" s="130"/>
      <x:c r="AE39" s="130"/>
      <x:c r="AF39" s="130"/>
      <x:c r="AG39" s="130"/>
      <x:c r="AH39" s="130"/>
      <x:c r="AI39" s="130"/>
      <x:c r="AJ39" s="130"/>
      <x:c r="AK39" s="130"/>
      <x:c r="AL39" s="130"/>
      <x:c r="AM39" s="130"/>
      <x:c r="AN39" s="130"/>
      <x:c r="AO39" s="130"/>
      <x:c r="AP39" s="130"/>
      <x:c r="AQ39" s="130"/>
      <x:c r="AR39" s="130"/>
      <x:c r="AS39" s="130"/>
      <x:c r="AT39" s="130"/>
      <x:c r="AU39" s="130"/>
      <x:c r="AV39" s="130"/>
      <x:c r="AW39" s="130"/>
      <x:c r="AX39" s="130"/>
      <x:c r="AY39" s="130"/>
      <x:c r="AZ39" s="130"/>
    </x:row>
    <x:row r="40">
      <x:c r="A40" s="130"/>
      <x:c r="B40" s="130"/>
      <x:c r="C40" s="130"/>
      <x:c r="D40" s="130"/>
      <x:c r="E40" s="130"/>
      <x:c r="F40" s="130"/>
      <x:c r="G40" s="130"/>
      <x:c r="H40" s="130"/>
      <x:c r="I40" s="130"/>
      <x:c r="J40" s="130"/>
      <x:c r="K40" s="130"/>
      <x:c r="L40" s="130"/>
      <x:c r="M40" s="130"/>
      <x:c r="N40" s="130"/>
      <x:c r="O40" s="130"/>
      <x:c r="P40" s="130"/>
      <x:c r="Q40" s="130"/>
      <x:c r="R40" s="130"/>
      <x:c r="S40" s="130"/>
      <x:c r="T40" s="130"/>
      <x:c r="U40" s="130"/>
      <x:c r="V40" s="130"/>
      <x:c r="W40" s="130"/>
      <x:c r="X40" s="130"/>
      <x:c r="Y40" s="130"/>
      <x:c r="Z40" s="130"/>
      <x:c r="AA40" s="130"/>
      <x:c r="AB40" s="130"/>
      <x:c r="AC40" s="130"/>
      <x:c r="AD40" s="130"/>
      <x:c r="AE40" s="130"/>
      <x:c r="AF40" s="130"/>
      <x:c r="AG40" s="130"/>
      <x:c r="AH40" s="130"/>
      <x:c r="AI40" s="130"/>
      <x:c r="AJ40" s="130"/>
      <x:c r="AK40" s="130"/>
      <x:c r="AL40" s="130"/>
      <x:c r="AM40" s="130"/>
      <x:c r="AN40" s="130"/>
      <x:c r="AO40" s="130"/>
      <x:c r="AP40" s="130"/>
      <x:c r="AQ40" s="130"/>
      <x:c r="AR40" s="130"/>
      <x:c r="AS40" s="130"/>
      <x:c r="AT40" s="130"/>
      <x:c r="AU40" s="130"/>
      <x:c r="AV40" s="130"/>
      <x:c r="AW40" s="130"/>
      <x:c r="AX40" s="130"/>
      <x:c r="AY40" s="130"/>
      <x:c r="AZ40" s="130"/>
    </x:row>
    <x:row r="41">
      <x:c r="A41" s="130"/>
      <x:c r="B41" s="130"/>
      <x:c r="C41" s="130"/>
      <x:c r="D41" s="130"/>
      <x:c r="E41" s="130"/>
      <x:c r="F41" s="130"/>
      <x:c r="G41" s="130"/>
      <x:c r="H41" s="130"/>
      <x:c r="I41" s="130"/>
      <x:c r="J41" s="130"/>
      <x:c r="K41" s="130"/>
      <x:c r="L41" s="130"/>
      <x:c r="M41" s="130"/>
      <x:c r="N41" s="130"/>
      <x:c r="O41" s="130"/>
      <x:c r="P41" s="130"/>
      <x:c r="Q41" s="130"/>
      <x:c r="R41" s="130"/>
      <x:c r="S41" s="130"/>
      <x:c r="T41" s="130"/>
      <x:c r="U41" s="130"/>
      <x:c r="V41" s="130"/>
      <x:c r="W41" s="130"/>
      <x:c r="X41" s="130"/>
      <x:c r="Y41" s="130"/>
      <x:c r="Z41" s="130"/>
      <x:c r="AA41" s="130"/>
      <x:c r="AB41" s="130"/>
      <x:c r="AC41" s="130"/>
      <x:c r="AD41" s="130"/>
      <x:c r="AE41" s="130"/>
      <x:c r="AF41" s="130"/>
      <x:c r="AG41" s="130"/>
      <x:c r="AH41" s="130"/>
      <x:c r="AI41" s="130"/>
      <x:c r="AJ41" s="130"/>
      <x:c r="AK41" s="130"/>
      <x:c r="AL41" s="130"/>
      <x:c r="AM41" s="130"/>
      <x:c r="AN41" s="130"/>
      <x:c r="AO41" s="130"/>
      <x:c r="AP41" s="130"/>
      <x:c r="AQ41" s="130"/>
      <x:c r="AR41" s="130"/>
      <x:c r="AS41" s="130"/>
      <x:c r="AT41" s="130"/>
      <x:c r="AU41" s="130"/>
      <x:c r="AV41" s="130"/>
      <x:c r="AW41" s="130"/>
      <x:c r="AX41" s="130"/>
      <x:c r="AY41" s="130"/>
      <x:c r="AZ41" s="130"/>
    </x:row>
    <x:row r="42">
      <x:c r="A42" s="130"/>
      <x:c r="B42" s="130"/>
      <x:c r="C42" s="130"/>
      <x:c r="D42" s="130"/>
      <x:c r="E42" s="130"/>
      <x:c r="F42" s="130"/>
      <x:c r="G42" s="130"/>
      <x:c r="H42" s="130"/>
      <x:c r="I42" s="130"/>
      <x:c r="J42" s="130"/>
      <x:c r="K42" s="130"/>
      <x:c r="L42" s="130"/>
      <x:c r="M42" s="130"/>
      <x:c r="N42" s="130"/>
      <x:c r="O42" s="130"/>
      <x:c r="P42" s="130"/>
      <x:c r="Q42" s="130"/>
      <x:c r="R42" s="130"/>
      <x:c r="S42" s="130"/>
      <x:c r="T42" s="130"/>
      <x:c r="U42" s="130"/>
      <x:c r="V42" s="130"/>
      <x:c r="W42" s="130"/>
      <x:c r="X42" s="130"/>
      <x:c r="Y42" s="130"/>
      <x:c r="Z42" s="130"/>
      <x:c r="AA42" s="130"/>
      <x:c r="AB42" s="130"/>
      <x:c r="AC42" s="130"/>
      <x:c r="AD42" s="130"/>
      <x:c r="AE42" s="130"/>
      <x:c r="AF42" s="130"/>
      <x:c r="AG42" s="130"/>
      <x:c r="AH42" s="130"/>
      <x:c r="AI42" s="130"/>
      <x:c r="AJ42" s="130"/>
      <x:c r="AK42" s="130"/>
      <x:c r="AL42" s="130"/>
      <x:c r="AM42" s="130"/>
      <x:c r="AN42" s="130"/>
      <x:c r="AO42" s="130"/>
      <x:c r="AP42" s="130"/>
      <x:c r="AQ42" s="130"/>
      <x:c r="AR42" s="130"/>
      <x:c r="AS42" s="130"/>
      <x:c r="AT42" s="130"/>
      <x:c r="AU42" s="130"/>
      <x:c r="AV42" s="130"/>
      <x:c r="AW42" s="130"/>
      <x:c r="AX42" s="130"/>
      <x:c r="AY42" s="130"/>
      <x:c r="AZ42" s="130"/>
    </x:row>
    <x:row r="43">
      <x:c r="A43" s="130"/>
      <x:c r="B43" s="130"/>
      <x:c r="C43" s="130"/>
      <x:c r="D43" s="130"/>
      <x:c r="E43" s="130"/>
      <x:c r="F43" s="130"/>
      <x:c r="G43" s="130"/>
      <x:c r="H43" s="130"/>
      <x:c r="I43" s="130"/>
      <x:c r="J43" s="130"/>
      <x:c r="K43" s="130"/>
      <x:c r="L43" s="130"/>
      <x:c r="M43" s="130"/>
      <x:c r="N43" s="130"/>
      <x:c r="O43" s="130"/>
      <x:c r="P43" s="130"/>
      <x:c r="Q43" s="130"/>
      <x:c r="R43" s="130"/>
      <x:c r="S43" s="130"/>
      <x:c r="T43" s="130"/>
      <x:c r="U43" s="130"/>
      <x:c r="V43" s="130"/>
      <x:c r="W43" s="130"/>
      <x:c r="X43" s="130"/>
      <x:c r="Y43" s="130"/>
      <x:c r="Z43" s="130"/>
      <x:c r="AA43" s="130"/>
      <x:c r="AB43" s="130"/>
      <x:c r="AC43" s="130"/>
      <x:c r="AD43" s="130"/>
      <x:c r="AE43" s="130"/>
      <x:c r="AF43" s="130"/>
      <x:c r="AG43" s="130"/>
      <x:c r="AH43" s="130"/>
      <x:c r="AI43" s="130"/>
      <x:c r="AJ43" s="130"/>
      <x:c r="AK43" s="130"/>
      <x:c r="AL43" s="130"/>
      <x:c r="AM43" s="130"/>
      <x:c r="AN43" s="130"/>
      <x:c r="AO43" s="130"/>
      <x:c r="AP43" s="130"/>
      <x:c r="AQ43" s="130"/>
      <x:c r="AR43" s="130"/>
      <x:c r="AS43" s="130"/>
      <x:c r="AT43" s="130"/>
      <x:c r="AU43" s="130"/>
      <x:c r="AV43" s="130"/>
      <x:c r="AW43" s="130"/>
      <x:c r="AX43" s="130"/>
      <x:c r="AY43" s="130"/>
      <x:c r="AZ43" s="130"/>
    </x:row>
    <x:row r="44">
      <x:c r="A44" s="130"/>
      <x:c r="B44" s="130"/>
      <x:c r="C44" s="130"/>
      <x:c r="D44" s="130"/>
      <x:c r="E44" s="130"/>
      <x:c r="F44" s="130"/>
      <x:c r="G44" s="130"/>
      <x:c r="H44" s="130"/>
      <x:c r="I44" s="130"/>
      <x:c r="J44" s="130"/>
      <x:c r="K44" s="130"/>
      <x:c r="L44" s="130"/>
      <x:c r="M44" s="130"/>
      <x:c r="N44" s="130"/>
      <x:c r="O44" s="130"/>
      <x:c r="P44" s="130"/>
      <x:c r="Q44" s="130"/>
      <x:c r="R44" s="130"/>
      <x:c r="S44" s="130"/>
      <x:c r="T44" s="130"/>
      <x:c r="U44" s="130"/>
      <x:c r="V44" s="130"/>
      <x:c r="W44" s="130"/>
      <x:c r="X44" s="130"/>
      <x:c r="Y44" s="130"/>
      <x:c r="Z44" s="130"/>
      <x:c r="AA44" s="130"/>
      <x:c r="AB44" s="130"/>
      <x:c r="AC44" s="130"/>
      <x:c r="AD44" s="130"/>
      <x:c r="AE44" s="130"/>
      <x:c r="AF44" s="130"/>
      <x:c r="AG44" s="130"/>
      <x:c r="AH44" s="130"/>
      <x:c r="AI44" s="130"/>
      <x:c r="AJ44" s="130"/>
      <x:c r="AK44" s="130"/>
      <x:c r="AL44" s="130"/>
      <x:c r="AM44" s="130"/>
      <x:c r="AN44" s="130"/>
      <x:c r="AO44" s="130"/>
      <x:c r="AP44" s="130"/>
      <x:c r="AQ44" s="130"/>
      <x:c r="AR44" s="130"/>
      <x:c r="AS44" s="130"/>
      <x:c r="AT44" s="130"/>
      <x:c r="AU44" s="130"/>
      <x:c r="AV44" s="130"/>
      <x:c r="AW44" s="130"/>
      <x:c r="AX44" s="130"/>
      <x:c r="AY44" s="130"/>
      <x:c r="AZ44" s="130"/>
    </x:row>
    <x:row r="45">
      <x:c r="A45" s="130"/>
      <x:c r="B45" s="130"/>
      <x:c r="C45" s="130"/>
      <x:c r="D45" s="130"/>
      <x:c r="E45" s="130"/>
      <x:c r="F45" s="130"/>
      <x:c r="G45" s="130"/>
      <x:c r="H45" s="130"/>
      <x:c r="I45" s="130"/>
      <x:c r="J45" s="130"/>
      <x:c r="K45" s="130"/>
      <x:c r="L45" s="130"/>
      <x:c r="M45" s="130"/>
      <x:c r="N45" s="130"/>
      <x:c r="O45" s="130"/>
      <x:c r="P45" s="130"/>
      <x:c r="Q45" s="130"/>
      <x:c r="R45" s="130"/>
      <x:c r="S45" s="130"/>
      <x:c r="T45" s="130"/>
      <x:c r="U45" s="130"/>
      <x:c r="V45" s="130"/>
      <x:c r="W45" s="130"/>
      <x:c r="X45" s="130"/>
      <x:c r="Y45" s="130"/>
      <x:c r="Z45" s="130"/>
      <x:c r="AA45" s="130"/>
      <x:c r="AB45" s="130"/>
      <x:c r="AC45" s="130"/>
      <x:c r="AD45" s="130"/>
      <x:c r="AE45" s="130"/>
      <x:c r="AF45" s="130"/>
      <x:c r="AG45" s="130"/>
      <x:c r="AH45" s="130"/>
      <x:c r="AI45" s="130"/>
      <x:c r="AJ45" s="130"/>
      <x:c r="AK45" s="130"/>
      <x:c r="AL45" s="130"/>
      <x:c r="AM45" s="130"/>
      <x:c r="AN45" s="130"/>
      <x:c r="AO45" s="130"/>
      <x:c r="AP45" s="130"/>
      <x:c r="AQ45" s="130"/>
      <x:c r="AR45" s="130"/>
      <x:c r="AS45" s="130"/>
      <x:c r="AT45" s="130"/>
      <x:c r="AU45" s="130"/>
      <x:c r="AV45" s="130"/>
      <x:c r="AW45" s="130"/>
      <x:c r="AX45" s="130"/>
      <x:c r="AY45" s="130"/>
      <x:c r="AZ45" s="130"/>
    </x:row>
    <x:row r="46">
      <x:c r="A46" s="130"/>
      <x:c r="B46" s="130"/>
      <x:c r="C46" s="130"/>
      <x:c r="D46" s="130"/>
      <x:c r="E46" s="130"/>
      <x:c r="F46" s="130"/>
      <x:c r="G46" s="130"/>
      <x:c r="H46" s="130"/>
      <x:c r="I46" s="130"/>
      <x:c r="J46" s="130"/>
      <x:c r="K46" s="130"/>
      <x:c r="L46" s="130"/>
      <x:c r="M46" s="130"/>
      <x:c r="N46" s="130"/>
      <x:c r="O46" s="130"/>
      <x:c r="P46" s="130"/>
      <x:c r="Q46" s="130"/>
      <x:c r="R46" s="130"/>
      <x:c r="S46" s="130"/>
      <x:c r="T46" s="130"/>
      <x:c r="U46" s="130"/>
      <x:c r="V46" s="130"/>
      <x:c r="W46" s="130"/>
      <x:c r="X46" s="130"/>
      <x:c r="Y46" s="130"/>
      <x:c r="Z46" s="130"/>
      <x:c r="AA46" s="130"/>
      <x:c r="AB46" s="130"/>
      <x:c r="AC46" s="130"/>
      <x:c r="AD46" s="130"/>
      <x:c r="AE46" s="130"/>
      <x:c r="AF46" s="130"/>
      <x:c r="AG46" s="130"/>
      <x:c r="AH46" s="130"/>
      <x:c r="AI46" s="130"/>
      <x:c r="AJ46" s="130"/>
      <x:c r="AK46" s="130"/>
      <x:c r="AL46" s="130"/>
      <x:c r="AM46" s="130"/>
      <x:c r="AN46" s="130"/>
      <x:c r="AO46" s="130"/>
      <x:c r="AP46" s="130"/>
      <x:c r="AQ46" s="130"/>
      <x:c r="AR46" s="130"/>
      <x:c r="AS46" s="130"/>
      <x:c r="AT46" s="130"/>
      <x:c r="AU46" s="130"/>
      <x:c r="AV46" s="130"/>
      <x:c r="AW46" s="130"/>
      <x:c r="AX46" s="130"/>
      <x:c r="AY46" s="130"/>
      <x:c r="AZ46" s="130"/>
    </x:row>
    <x:row r="47">
      <x:c r="A47" s="130"/>
      <x:c r="B47" s="130"/>
      <x:c r="C47" s="130"/>
      <x:c r="D47" s="130"/>
      <x:c r="E47" s="130"/>
      <x:c r="F47" s="130"/>
      <x:c r="G47" s="130"/>
      <x:c r="H47" s="130"/>
      <x:c r="I47" s="130"/>
      <x:c r="J47" s="130"/>
      <x:c r="K47" s="130"/>
      <x:c r="L47" s="130"/>
      <x:c r="M47" s="130"/>
      <x:c r="N47" s="130"/>
      <x:c r="O47" s="130"/>
      <x:c r="P47" s="130"/>
      <x:c r="Q47" s="130"/>
      <x:c r="R47" s="130"/>
      <x:c r="S47" s="130"/>
      <x:c r="T47" s="130"/>
      <x:c r="U47" s="130"/>
      <x:c r="V47" s="130"/>
      <x:c r="W47" s="130"/>
      <x:c r="X47" s="130"/>
      <x:c r="Y47" s="130"/>
      <x:c r="Z47" s="130"/>
      <x:c r="AA47" s="130"/>
      <x:c r="AB47" s="130"/>
      <x:c r="AC47" s="130"/>
      <x:c r="AD47" s="130"/>
      <x:c r="AE47" s="130"/>
      <x:c r="AF47" s="130"/>
      <x:c r="AG47" s="130"/>
      <x:c r="AH47" s="130"/>
      <x:c r="AI47" s="130"/>
      <x:c r="AJ47" s="130"/>
      <x:c r="AK47" s="130"/>
      <x:c r="AL47" s="130"/>
      <x:c r="AM47" s="130"/>
      <x:c r="AN47" s="130"/>
      <x:c r="AO47" s="130"/>
      <x:c r="AP47" s="130"/>
      <x:c r="AQ47" s="130"/>
      <x:c r="AR47" s="130"/>
      <x:c r="AS47" s="130"/>
      <x:c r="AT47" s="130"/>
      <x:c r="AU47" s="130"/>
      <x:c r="AV47" s="130"/>
      <x:c r="AW47" s="130"/>
      <x:c r="AX47" s="130"/>
      <x:c r="AY47" s="130"/>
      <x:c r="AZ47" s="130"/>
    </x:row>
    <x:row r="48">
      <x:c r="A48" s="130"/>
      <x:c r="B48" s="130"/>
      <x:c r="C48" s="130"/>
      <x:c r="D48" s="130"/>
      <x:c r="E48" s="130"/>
      <x:c r="F48" s="130"/>
      <x:c r="G48" s="130"/>
      <x:c r="H48" s="130"/>
      <x:c r="I48" s="130"/>
      <x:c r="J48" s="130"/>
      <x:c r="K48" s="130"/>
      <x:c r="L48" s="130"/>
      <x:c r="M48" s="130"/>
      <x:c r="N48" s="130"/>
      <x:c r="O48" s="130"/>
      <x:c r="P48" s="130"/>
      <x:c r="Q48" s="130"/>
      <x:c r="R48" s="130"/>
      <x:c r="S48" s="130"/>
      <x:c r="T48" s="130"/>
      <x:c r="U48" s="130"/>
      <x:c r="V48" s="130"/>
      <x:c r="W48" s="130"/>
      <x:c r="X48" s="130"/>
      <x:c r="Y48" s="130"/>
      <x:c r="Z48" s="130"/>
      <x:c r="AA48" s="130"/>
      <x:c r="AB48" s="130"/>
      <x:c r="AC48" s="130"/>
      <x:c r="AD48" s="130"/>
      <x:c r="AE48" s="130"/>
      <x:c r="AF48" s="130"/>
      <x:c r="AG48" s="130"/>
      <x:c r="AH48" s="130"/>
      <x:c r="AI48" s="130"/>
      <x:c r="AJ48" s="130"/>
      <x:c r="AK48" s="130"/>
      <x:c r="AL48" s="130"/>
      <x:c r="AM48" s="130"/>
      <x:c r="AN48" s="130"/>
      <x:c r="AO48" s="130"/>
      <x:c r="AP48" s="130"/>
      <x:c r="AQ48" s="130"/>
      <x:c r="AR48" s="130"/>
      <x:c r="AS48" s="130"/>
      <x:c r="AT48" s="130"/>
      <x:c r="AU48" s="130"/>
      <x:c r="AV48" s="130"/>
      <x:c r="AW48" s="130"/>
      <x:c r="AX48" s="130"/>
      <x:c r="AY48" s="130"/>
      <x:c r="AZ48" s="130"/>
    </x:row>
    <x:row r="49">
      <x:c r="A49" s="130"/>
      <x:c r="B49" s="130"/>
      <x:c r="C49" s="130"/>
      <x:c r="D49" s="130"/>
      <x:c r="E49" s="130"/>
      <x:c r="F49" s="130"/>
      <x:c r="G49" s="130"/>
      <x:c r="H49" s="130"/>
      <x:c r="I49" s="130"/>
      <x:c r="J49" s="130"/>
      <x:c r="K49" s="130"/>
      <x:c r="L49" s="130"/>
      <x:c r="M49" s="130"/>
      <x:c r="N49" s="130"/>
      <x:c r="O49" s="130"/>
      <x:c r="P49" s="130"/>
      <x:c r="Q49" s="130"/>
      <x:c r="R49" s="130"/>
      <x:c r="S49" s="130"/>
      <x:c r="T49" s="130"/>
      <x:c r="U49" s="130"/>
      <x:c r="V49" s="130"/>
      <x:c r="W49" s="130"/>
      <x:c r="X49" s="130"/>
      <x:c r="Y49" s="130"/>
      <x:c r="Z49" s="130"/>
      <x:c r="AA49" s="130"/>
      <x:c r="AB49" s="130"/>
      <x:c r="AC49" s="130"/>
      <x:c r="AD49" s="130"/>
      <x:c r="AE49" s="130"/>
      <x:c r="AF49" s="130"/>
      <x:c r="AG49" s="130"/>
      <x:c r="AH49" s="130"/>
      <x:c r="AI49" s="130"/>
      <x:c r="AJ49" s="130"/>
      <x:c r="AK49" s="130"/>
      <x:c r="AL49" s="130"/>
      <x:c r="AM49" s="130"/>
      <x:c r="AN49" s="130"/>
      <x:c r="AO49" s="130"/>
      <x:c r="AP49" s="130"/>
      <x:c r="AQ49" s="130"/>
      <x:c r="AR49" s="130"/>
      <x:c r="AS49" s="130"/>
      <x:c r="AT49" s="130"/>
      <x:c r="AU49" s="130"/>
      <x:c r="AV49" s="130"/>
      <x:c r="AW49" s="130"/>
      <x:c r="AX49" s="130"/>
      <x:c r="AY49" s="130"/>
      <x:c r="AZ49" s="130"/>
    </x:row>
    <x:row r="50">
      <x:c r="A50" s="130"/>
      <x:c r="B50" s="130"/>
      <x:c r="C50" s="130"/>
      <x:c r="D50" s="130"/>
      <x:c r="E50" s="130"/>
      <x:c r="F50" s="130"/>
      <x:c r="G50" s="130"/>
      <x:c r="H50" s="130"/>
      <x:c r="I50" s="130"/>
      <x:c r="J50" s="130"/>
      <x:c r="K50" s="130"/>
      <x:c r="L50" s="130"/>
      <x:c r="M50" s="130"/>
      <x:c r="N50" s="130"/>
      <x:c r="O50" s="130"/>
      <x:c r="P50" s="130"/>
      <x:c r="Q50" s="130"/>
      <x:c r="R50" s="130"/>
      <x:c r="S50" s="130"/>
      <x:c r="T50" s="130"/>
      <x:c r="U50" s="130"/>
      <x:c r="V50" s="130"/>
      <x:c r="W50" s="130"/>
      <x:c r="X50" s="130"/>
      <x:c r="Y50" s="130"/>
      <x:c r="Z50" s="130"/>
      <x:c r="AA50" s="130"/>
      <x:c r="AB50" s="130"/>
      <x:c r="AC50" s="130"/>
      <x:c r="AD50" s="130"/>
      <x:c r="AE50" s="130"/>
      <x:c r="AF50" s="130"/>
      <x:c r="AG50" s="130"/>
      <x:c r="AH50" s="130"/>
      <x:c r="AI50" s="130"/>
      <x:c r="AJ50" s="130"/>
      <x:c r="AK50" s="130"/>
      <x:c r="AL50" s="130"/>
      <x:c r="AM50" s="130"/>
      <x:c r="AN50" s="130"/>
      <x:c r="AO50" s="130"/>
      <x:c r="AP50" s="130"/>
      <x:c r="AQ50" s="130"/>
      <x:c r="AR50" s="130"/>
      <x:c r="AS50" s="130"/>
      <x:c r="AT50" s="130"/>
      <x:c r="AU50" s="130"/>
      <x:c r="AV50" s="130"/>
      <x:c r="AW50" s="130"/>
      <x:c r="AX50" s="130"/>
      <x:c r="AY50" s="130"/>
      <x:c r="AZ50" s="130"/>
    </x:row>
    <x:row r="51">
      <x:c r="A51" s="130"/>
      <x:c r="B51" s="130"/>
      <x:c r="C51" s="130"/>
      <x:c r="D51" s="130"/>
      <x:c r="E51" s="130"/>
      <x:c r="F51" s="130"/>
      <x:c r="G51" s="130"/>
      <x:c r="H51" s="130"/>
      <x:c r="I51" s="130"/>
      <x:c r="J51" s="130"/>
      <x:c r="K51" s="130"/>
      <x:c r="L51" s="130"/>
      <x:c r="M51" s="130"/>
      <x:c r="N51" s="130"/>
      <x:c r="O51" s="130"/>
      <x:c r="P51" s="130"/>
      <x:c r="Q51" s="130"/>
      <x:c r="R51" s="130"/>
      <x:c r="S51" s="130"/>
      <x:c r="T51" s="130"/>
      <x:c r="U51" s="130"/>
      <x:c r="V51" s="130"/>
      <x:c r="W51" s="130"/>
      <x:c r="X51" s="130"/>
      <x:c r="Y51" s="130"/>
      <x:c r="Z51" s="130"/>
      <x:c r="AA51" s="130"/>
      <x:c r="AB51" s="130"/>
      <x:c r="AC51" s="130"/>
      <x:c r="AD51" s="130"/>
      <x:c r="AE51" s="130"/>
      <x:c r="AF51" s="130"/>
      <x:c r="AG51" s="130"/>
      <x:c r="AH51" s="130"/>
      <x:c r="AI51" s="130"/>
      <x:c r="AJ51" s="130"/>
      <x:c r="AK51" s="130"/>
      <x:c r="AL51" s="130"/>
      <x:c r="AM51" s="130"/>
      <x:c r="AN51" s="130"/>
      <x:c r="AO51" s="130"/>
      <x:c r="AP51" s="130"/>
      <x:c r="AQ51" s="130"/>
      <x:c r="AR51" s="130"/>
      <x:c r="AS51" s="130"/>
      <x:c r="AT51" s="130"/>
      <x:c r="AU51" s="130"/>
      <x:c r="AV51" s="130"/>
      <x:c r="AW51" s="130"/>
      <x:c r="AX51" s="130"/>
      <x:c r="AY51" s="130"/>
      <x:c r="AZ51" s="130"/>
    </x:row>
    <x:row r="52">
      <x:c r="A52" s="130"/>
      <x:c r="B52" s="130"/>
      <x:c r="C52" s="130"/>
      <x:c r="D52" s="130"/>
      <x:c r="E52" s="130"/>
      <x:c r="F52" s="130"/>
      <x:c r="G52" s="130"/>
      <x:c r="H52" s="130"/>
      <x:c r="I52" s="130"/>
      <x:c r="J52" s="130"/>
      <x:c r="K52" s="130"/>
      <x:c r="L52" s="130"/>
      <x:c r="M52" s="130"/>
      <x:c r="N52" s="130"/>
      <x:c r="O52" s="130"/>
      <x:c r="P52" s="130"/>
      <x:c r="Q52" s="130"/>
      <x:c r="R52" s="130"/>
      <x:c r="S52" s="130"/>
      <x:c r="T52" s="130"/>
      <x:c r="U52" s="130"/>
      <x:c r="V52" s="130"/>
      <x:c r="W52" s="130"/>
      <x:c r="X52" s="130"/>
      <x:c r="Y52" s="130"/>
      <x:c r="Z52" s="130"/>
      <x:c r="AA52" s="130"/>
      <x:c r="AB52" s="130"/>
      <x:c r="AC52" s="130"/>
      <x:c r="AD52" s="130"/>
      <x:c r="AE52" s="130"/>
      <x:c r="AF52" s="130"/>
      <x:c r="AG52" s="130"/>
      <x:c r="AH52" s="130"/>
      <x:c r="AI52" s="130"/>
      <x:c r="AJ52" s="130"/>
      <x:c r="AK52" s="130"/>
      <x:c r="AL52" s="130"/>
      <x:c r="AM52" s="130"/>
      <x:c r="AN52" s="130"/>
      <x:c r="AO52" s="130"/>
      <x:c r="AP52" s="130"/>
      <x:c r="AQ52" s="130"/>
      <x:c r="AR52" s="130"/>
      <x:c r="AS52" s="130"/>
      <x:c r="AT52" s="130"/>
      <x:c r="AU52" s="130"/>
      <x:c r="AV52" s="130"/>
      <x:c r="AW52" s="130"/>
      <x:c r="AX52" s="130"/>
      <x:c r="AY52" s="130"/>
      <x:c r="AZ52" s="130"/>
    </x:row>
    <x:row r="53">
      <x:c r="A53" s="130"/>
      <x:c r="B53" s="130"/>
      <x:c r="C53" s="130"/>
      <x:c r="D53" s="130"/>
      <x:c r="E53" s="130"/>
      <x:c r="F53" s="130"/>
      <x:c r="G53" s="130"/>
      <x:c r="H53" s="130"/>
      <x:c r="I53" s="130"/>
      <x:c r="J53" s="130"/>
      <x:c r="K53" s="130"/>
      <x:c r="L53" s="130"/>
      <x:c r="M53" s="130"/>
      <x:c r="N53" s="130"/>
      <x:c r="O53" s="130"/>
      <x:c r="P53" s="130"/>
      <x:c r="Q53" s="130"/>
      <x:c r="R53" s="130"/>
      <x:c r="S53" s="130"/>
      <x:c r="T53" s="130"/>
      <x:c r="U53" s="130"/>
      <x:c r="V53" s="130"/>
      <x:c r="W53" s="130"/>
      <x:c r="X53" s="130"/>
      <x:c r="Y53" s="130"/>
      <x:c r="Z53" s="130"/>
      <x:c r="AA53" s="130"/>
      <x:c r="AB53" s="130"/>
      <x:c r="AC53" s="130"/>
      <x:c r="AD53" s="130"/>
      <x:c r="AE53" s="130"/>
      <x:c r="AF53" s="130"/>
      <x:c r="AG53" s="130"/>
      <x:c r="AH53" s="130"/>
      <x:c r="AI53" s="130"/>
      <x:c r="AJ53" s="130"/>
      <x:c r="AK53" s="130"/>
      <x:c r="AL53" s="130"/>
      <x:c r="AM53" s="130"/>
      <x:c r="AN53" s="130"/>
      <x:c r="AO53" s="130"/>
      <x:c r="AP53" s="130"/>
      <x:c r="AQ53" s="130"/>
      <x:c r="AR53" s="130"/>
      <x:c r="AS53" s="130"/>
      <x:c r="AT53" s="130"/>
      <x:c r="AU53" s="130"/>
      <x:c r="AV53" s="130"/>
      <x:c r="AW53" s="130"/>
      <x:c r="AX53" s="130"/>
      <x:c r="AY53" s="130"/>
      <x:c r="AZ53" s="130"/>
    </x:row>
    <x:row r="54">
      <x:c r="A54" s="130"/>
      <x:c r="B54" s="130"/>
      <x:c r="C54" s="130"/>
      <x:c r="D54" s="130"/>
      <x:c r="E54" s="130"/>
      <x:c r="F54" s="130"/>
      <x:c r="G54" s="130"/>
      <x:c r="H54" s="130"/>
      <x:c r="I54" s="130"/>
      <x:c r="J54" s="130"/>
      <x:c r="K54" s="130"/>
      <x:c r="L54" s="130"/>
      <x:c r="M54" s="130"/>
      <x:c r="N54" s="130"/>
      <x:c r="O54" s="130"/>
      <x:c r="P54" s="130"/>
      <x:c r="Q54" s="130"/>
      <x:c r="R54" s="130"/>
      <x:c r="S54" s="130"/>
      <x:c r="T54" s="130"/>
      <x:c r="U54" s="130"/>
      <x:c r="V54" s="130"/>
      <x:c r="W54" s="130"/>
      <x:c r="X54" s="130"/>
      <x:c r="Y54" s="130"/>
      <x:c r="Z54" s="130"/>
      <x:c r="AA54" s="130"/>
      <x:c r="AB54" s="130"/>
      <x:c r="AC54" s="130"/>
      <x:c r="AD54" s="130"/>
      <x:c r="AE54" s="130"/>
      <x:c r="AF54" s="130"/>
      <x:c r="AG54" s="130"/>
      <x:c r="AH54" s="130"/>
      <x:c r="AI54" s="130"/>
      <x:c r="AJ54" s="130"/>
      <x:c r="AK54" s="130"/>
      <x:c r="AL54" s="130"/>
      <x:c r="AM54" s="130"/>
      <x:c r="AN54" s="130"/>
      <x:c r="AO54" s="130"/>
      <x:c r="AP54" s="130"/>
      <x:c r="AQ54" s="130"/>
      <x:c r="AR54" s="130"/>
      <x:c r="AS54" s="130"/>
      <x:c r="AT54" s="130"/>
      <x:c r="AU54" s="130"/>
      <x:c r="AV54" s="130"/>
      <x:c r="AW54" s="130"/>
      <x:c r="AX54" s="130"/>
      <x:c r="AY54" s="130"/>
      <x:c r="AZ54" s="130"/>
    </x:row>
    <x:row r="55">
      <x:c r="A55" s="130"/>
      <x:c r="B55" s="130"/>
      <x:c r="C55" s="130"/>
      <x:c r="D55" s="130"/>
      <x:c r="E55" s="130"/>
      <x:c r="F55" s="130"/>
      <x:c r="G55" s="130"/>
      <x:c r="H55" s="130"/>
      <x:c r="I55" s="130"/>
      <x:c r="J55" s="130"/>
      <x:c r="K55" s="130"/>
      <x:c r="L55" s="130"/>
      <x:c r="M55" s="130"/>
      <x:c r="N55" s="130"/>
      <x:c r="O55" s="130"/>
      <x:c r="P55" s="130"/>
      <x:c r="Q55" s="130"/>
      <x:c r="R55" s="130"/>
      <x:c r="S55" s="130"/>
      <x:c r="T55" s="130"/>
      <x:c r="U55" s="130"/>
      <x:c r="V55" s="130"/>
      <x:c r="W55" s="130"/>
      <x:c r="X55" s="130"/>
      <x:c r="Y55" s="130"/>
      <x:c r="Z55" s="130"/>
      <x:c r="AA55" s="130"/>
      <x:c r="AB55" s="130"/>
      <x:c r="AC55" s="130"/>
      <x:c r="AD55" s="130"/>
      <x:c r="AE55" s="130"/>
      <x:c r="AF55" s="130"/>
      <x:c r="AG55" s="130"/>
      <x:c r="AH55" s="130"/>
      <x:c r="AI55" s="130"/>
      <x:c r="AJ55" s="130"/>
      <x:c r="AK55" s="130"/>
      <x:c r="AL55" s="130"/>
      <x:c r="AM55" s="130"/>
      <x:c r="AN55" s="130"/>
      <x:c r="AO55" s="130"/>
      <x:c r="AP55" s="130"/>
      <x:c r="AQ55" s="130"/>
      <x:c r="AR55" s="130"/>
      <x:c r="AS55" s="130"/>
      <x:c r="AT55" s="130"/>
      <x:c r="AU55" s="130"/>
      <x:c r="AV55" s="130"/>
      <x:c r="AW55" s="130"/>
      <x:c r="AX55" s="130"/>
      <x:c r="AY55" s="130"/>
      <x:c r="AZ55" s="130"/>
    </x:row>
    <x:row r="56">
      <x:c r="A56" s="130"/>
      <x:c r="B56" s="130"/>
      <x:c r="C56" s="130"/>
      <x:c r="D56" s="130"/>
      <x:c r="E56" s="130"/>
      <x:c r="F56" s="130"/>
      <x:c r="G56" s="130"/>
      <x:c r="H56" s="130"/>
      <x:c r="I56" s="130"/>
      <x:c r="J56" s="130"/>
      <x:c r="K56" s="130"/>
      <x:c r="L56" s="130"/>
      <x:c r="M56" s="130"/>
      <x:c r="N56" s="130"/>
      <x:c r="O56" s="130"/>
      <x:c r="P56" s="130"/>
      <x:c r="Q56" s="130"/>
      <x:c r="R56" s="130"/>
      <x:c r="S56" s="130"/>
      <x:c r="T56" s="130"/>
      <x:c r="U56" s="130"/>
      <x:c r="V56" s="130"/>
      <x:c r="W56" s="130"/>
      <x:c r="X56" s="130"/>
      <x:c r="Y56" s="130"/>
      <x:c r="Z56" s="130"/>
      <x:c r="AA56" s="130"/>
      <x:c r="AB56" s="130"/>
      <x:c r="AC56" s="130"/>
      <x:c r="AD56" s="130"/>
      <x:c r="AE56" s="130"/>
      <x:c r="AF56" s="130"/>
      <x:c r="AG56" s="130"/>
      <x:c r="AH56" s="130"/>
      <x:c r="AI56" s="130"/>
      <x:c r="AJ56" s="130"/>
      <x:c r="AK56" s="130"/>
      <x:c r="AL56" s="130"/>
      <x:c r="AM56" s="130"/>
      <x:c r="AN56" s="130"/>
      <x:c r="AO56" s="130"/>
      <x:c r="AP56" s="130"/>
      <x:c r="AQ56" s="130"/>
      <x:c r="AR56" s="130"/>
      <x:c r="AS56" s="130"/>
      <x:c r="AT56" s="130"/>
      <x:c r="AU56" s="130"/>
      <x:c r="AV56" s="130"/>
      <x:c r="AW56" s="130"/>
      <x:c r="AX56" s="130"/>
      <x:c r="AY56" s="130"/>
      <x:c r="AZ56" s="130"/>
    </x:row>
    <x:row r="57">
      <x:c r="A57" s="130"/>
      <x:c r="B57" s="130"/>
      <x:c r="C57" s="130"/>
      <x:c r="D57" s="130"/>
      <x:c r="E57" s="130"/>
      <x:c r="F57" s="130"/>
      <x:c r="G57" s="130"/>
      <x:c r="H57" s="130"/>
      <x:c r="I57" s="130"/>
      <x:c r="J57" s="130"/>
      <x:c r="K57" s="130"/>
      <x:c r="L57" s="130"/>
      <x:c r="M57" s="130"/>
      <x:c r="N57" s="130"/>
      <x:c r="O57" s="130"/>
      <x:c r="P57" s="130"/>
      <x:c r="Q57" s="130"/>
      <x:c r="R57" s="130"/>
      <x:c r="S57" s="130"/>
      <x:c r="T57" s="130"/>
      <x:c r="U57" s="130"/>
      <x:c r="V57" s="130"/>
      <x:c r="W57" s="130"/>
      <x:c r="X57" s="130"/>
      <x:c r="Y57" s="130"/>
      <x:c r="Z57" s="130"/>
      <x:c r="AA57" s="130"/>
      <x:c r="AB57" s="130"/>
      <x:c r="AC57" s="130"/>
      <x:c r="AD57" s="130"/>
      <x:c r="AE57" s="130"/>
      <x:c r="AF57" s="130"/>
      <x:c r="AG57" s="130"/>
      <x:c r="AH57" s="130"/>
      <x:c r="AI57" s="130"/>
      <x:c r="AJ57" s="130"/>
      <x:c r="AK57" s="130"/>
      <x:c r="AL57" s="130"/>
      <x:c r="AM57" s="130"/>
      <x:c r="AN57" s="130"/>
      <x:c r="AO57" s="130"/>
      <x:c r="AP57" s="130"/>
      <x:c r="AQ57" s="130"/>
      <x:c r="AR57" s="130"/>
      <x:c r="AS57" s="130"/>
      <x:c r="AT57" s="130"/>
      <x:c r="AU57" s="130"/>
      <x:c r="AV57" s="130"/>
      <x:c r="AW57" s="130"/>
      <x:c r="AX57" s="130"/>
      <x:c r="AY57" s="130"/>
      <x:c r="AZ57" s="130"/>
    </x:row>
    <x:row r="58">
      <x:c r="A58" s="130"/>
      <x:c r="B58" s="130"/>
      <x:c r="C58" s="130"/>
      <x:c r="D58" s="130"/>
      <x:c r="E58" s="130"/>
      <x:c r="F58" s="130"/>
      <x:c r="G58" s="130"/>
      <x:c r="H58" s="130"/>
      <x:c r="I58" s="130"/>
      <x:c r="J58" s="130"/>
      <x:c r="K58" s="130"/>
      <x:c r="L58" s="130"/>
      <x:c r="M58" s="130"/>
      <x:c r="N58" s="130"/>
      <x:c r="O58" s="130"/>
      <x:c r="P58" s="130"/>
      <x:c r="Q58" s="130"/>
      <x:c r="R58" s="130"/>
      <x:c r="S58" s="130"/>
      <x:c r="T58" s="130"/>
      <x:c r="U58" s="130"/>
      <x:c r="V58" s="130"/>
      <x:c r="W58" s="130"/>
      <x:c r="X58" s="130"/>
      <x:c r="Y58" s="130"/>
      <x:c r="Z58" s="130"/>
      <x:c r="AA58" s="130"/>
      <x:c r="AB58" s="130"/>
      <x:c r="AC58" s="130"/>
      <x:c r="AD58" s="130"/>
      <x:c r="AE58" s="130"/>
      <x:c r="AF58" s="130"/>
      <x:c r="AG58" s="130"/>
      <x:c r="AH58" s="130"/>
      <x:c r="AI58" s="130"/>
      <x:c r="AJ58" s="130"/>
      <x:c r="AK58" s="130"/>
      <x:c r="AL58" s="130"/>
      <x:c r="AM58" s="130"/>
      <x:c r="AN58" s="130"/>
      <x:c r="AO58" s="130"/>
      <x:c r="AP58" s="130"/>
      <x:c r="AQ58" s="130"/>
      <x:c r="AR58" s="130"/>
      <x:c r="AS58" s="130"/>
      <x:c r="AT58" s="130"/>
      <x:c r="AU58" s="130"/>
      <x:c r="AV58" s="130"/>
      <x:c r="AW58" s="130"/>
      <x:c r="AX58" s="130"/>
      <x:c r="AY58" s="130"/>
      <x:c r="AZ58" s="130"/>
    </x:row>
    <x:row r="59">
      <x:c r="A59" s="130"/>
      <x:c r="B59" s="130"/>
      <x:c r="C59" s="130"/>
      <x:c r="D59" s="130"/>
      <x:c r="E59" s="130"/>
      <x:c r="F59" s="130"/>
      <x:c r="G59" s="130"/>
      <x:c r="H59" s="130"/>
      <x:c r="I59" s="130"/>
      <x:c r="J59" s="130"/>
      <x:c r="K59" s="130"/>
      <x:c r="L59" s="130"/>
      <x:c r="M59" s="130"/>
      <x:c r="N59" s="130"/>
      <x:c r="O59" s="130"/>
      <x:c r="P59" s="130"/>
      <x:c r="Q59" s="130"/>
      <x:c r="R59" s="130"/>
      <x:c r="S59" s="130"/>
      <x:c r="T59" s="130"/>
      <x:c r="U59" s="130"/>
      <x:c r="V59" s="130"/>
      <x:c r="W59" s="130"/>
      <x:c r="X59" s="130"/>
      <x:c r="Y59" s="130"/>
      <x:c r="Z59" s="130"/>
      <x:c r="AA59" s="130"/>
      <x:c r="AB59" s="130"/>
      <x:c r="AC59" s="130"/>
      <x:c r="AD59" s="130"/>
      <x:c r="AE59" s="130"/>
      <x:c r="AF59" s="130"/>
      <x:c r="AG59" s="130"/>
      <x:c r="AH59" s="130"/>
      <x:c r="AI59" s="130"/>
      <x:c r="AJ59" s="130"/>
      <x:c r="AK59" s="130"/>
      <x:c r="AL59" s="130"/>
      <x:c r="AM59" s="130"/>
      <x:c r="AN59" s="130"/>
      <x:c r="AO59" s="130"/>
      <x:c r="AP59" s="130"/>
      <x:c r="AQ59" s="130"/>
      <x:c r="AR59" s="130"/>
      <x:c r="AS59" s="130"/>
      <x:c r="AT59" s="130"/>
      <x:c r="AU59" s="130"/>
      <x:c r="AV59" s="130"/>
      <x:c r="AW59" s="130"/>
      <x:c r="AX59" s="130"/>
      <x:c r="AY59" s="130"/>
      <x:c r="AZ59" s="130"/>
    </x:row>
    <x:row r="60">
      <x:c r="A60" s="130"/>
      <x:c r="B60" s="130"/>
      <x:c r="C60" s="130"/>
      <x:c r="D60" s="130"/>
      <x:c r="E60" s="130"/>
      <x:c r="F60" s="130"/>
      <x:c r="G60" s="130"/>
      <x:c r="H60" s="130"/>
      <x:c r="I60" s="130"/>
      <x:c r="J60" s="130"/>
      <x:c r="K60" s="130"/>
      <x:c r="L60" s="130"/>
      <x:c r="M60" s="130"/>
      <x:c r="N60" s="130"/>
      <x:c r="O60" s="130"/>
      <x:c r="P60" s="130"/>
      <x:c r="Q60" s="130"/>
      <x:c r="R60" s="130"/>
      <x:c r="S60" s="130"/>
      <x:c r="T60" s="130"/>
      <x:c r="U60" s="130"/>
      <x:c r="V60" s="130"/>
      <x:c r="W60" s="130"/>
      <x:c r="X60" s="130"/>
      <x:c r="Y60" s="130"/>
      <x:c r="Z60" s="130"/>
      <x:c r="AA60" s="130"/>
      <x:c r="AB60" s="130"/>
      <x:c r="AC60" s="130"/>
      <x:c r="AD60" s="130"/>
      <x:c r="AE60" s="130"/>
      <x:c r="AF60" s="130"/>
      <x:c r="AG60" s="130"/>
      <x:c r="AH60" s="130"/>
      <x:c r="AI60" s="130"/>
      <x:c r="AJ60" s="130"/>
      <x:c r="AK60" s="130"/>
      <x:c r="AL60" s="130"/>
      <x:c r="AM60" s="130"/>
      <x:c r="AN60" s="130"/>
      <x:c r="AO60" s="130"/>
      <x:c r="AP60" s="130"/>
      <x:c r="AQ60" s="130"/>
      <x:c r="AR60" s="130"/>
      <x:c r="AS60" s="130"/>
      <x:c r="AT60" s="130"/>
      <x:c r="AU60" s="130"/>
      <x:c r="AV60" s="130"/>
      <x:c r="AW60" s="130"/>
      <x:c r="AX60" s="130"/>
      <x:c r="AY60" s="130"/>
      <x:c r="AZ60" s="130"/>
    </x:row>
  </x:sheetData>
  <x:mergeCells>
    <x:mergeCell ref="A1:AE2"/>
  </x:mergeCells>
  <x:pageMargins left="0.7" right="0.7" top="0.75" bottom="0.75" header="0.3" footer="0.3"/>
  <x:tableParts count="1">
    <x:tablePart xmlns:r="http://schemas.openxmlformats.org/officeDocument/2006/relationships" r:id="R3cddf32a0f334d78"/>
  </x:tableParts>
</x:worksheet>
</file>

<file path=xl/worksheets/sheet8.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24" customHeight="1">
      <x:c r="A1" s="5" t="str">
        <x:v>Dashboard preview: Urban site near a school</x:v>
      </x:c>
      <x:c r="B1" s="5"/>
      <x:c r="C1" s="5"/>
      <x:c r="D1" s="5"/>
      <x:c r="E1" s="5"/>
      <x:c r="F1" s="5"/>
      <x:c r="G1" s="5"/>
      <x:c r="H1" s="5"/>
      <x:c r="I1" s="5"/>
      <x:c r="J1" s="5"/>
      <x:c r="K1" s="5"/>
      <x:c r="L1" s="5"/>
      <x:c r="M1" s="5"/>
      <x:c r="N1" s="5"/>
      <x:c r="O1" s="130"/>
      <x:c r="P1" s="130"/>
      <x:c r="Q1" s="130"/>
      <x:c r="R1" s="130"/>
      <x:c r="S1" s="130"/>
      <x:c r="T1" s="130"/>
      <x:c r="U1" s="130"/>
      <x:c r="V1" s="130"/>
      <x:c r="W1" s="130"/>
      <x:c r="X1" s="130"/>
      <x:c r="Y1" s="130"/>
      <x:c r="Z1" s="130"/>
      <x:c r="AA1" s="130"/>
      <x:c r="AB1" s="130"/>
      <x:c r="AC1" s="130"/>
      <x:c r="AD1" s="130"/>
      <x:c r="AE1" s="130"/>
      <x:c r="AF1" s="130"/>
      <x:c r="AG1" s="130"/>
      <x:c r="AH1" s="130"/>
      <x:c r="AI1" s="130"/>
      <x:c r="AJ1" s="130"/>
      <x:c r="AK1" s="130"/>
      <x:c r="AL1" s="130"/>
      <x:c r="AM1" s="130"/>
      <x:c r="AN1" s="130"/>
      <x:c r="AO1" s="130"/>
      <x:c r="AP1" s="130"/>
      <x:c r="AQ1" s="130"/>
      <x:c r="AR1" s="130"/>
      <x:c r="AS1" s="130"/>
      <x:c r="AT1" s="130"/>
      <x:c r="AU1" s="130"/>
      <x:c r="AV1" s="130"/>
      <x:c r="AW1" s="130"/>
      <x:c r="AX1" s="130"/>
      <x:c r="AY1" s="130"/>
      <x:c r="AZ1" s="130"/>
    </x:row>
    <x:row r="2" ht="24" customHeight="1">
      <x:c r="A2" s="5"/>
      <x:c r="B2" s="5"/>
      <x:c r="C2" s="5"/>
      <x:c r="D2" s="5"/>
      <x:c r="E2" s="5"/>
      <x:c r="F2" s="5"/>
      <x:c r="G2" s="5"/>
      <x:c r="H2" s="5"/>
      <x:c r="I2" s="5"/>
      <x:c r="J2" s="5"/>
      <x:c r="K2" s="5"/>
      <x:c r="L2" s="5"/>
      <x:c r="M2" s="5"/>
      <x:c r="N2" s="5"/>
      <x:c r="O2" s="130"/>
      <x:c r="P2" s="130"/>
      <x:c r="Q2" s="130"/>
      <x:c r="R2" s="130"/>
      <x:c r="S2" s="130"/>
      <x:c r="T2" s="130"/>
      <x:c r="U2" s="130"/>
      <x:c r="V2" s="130"/>
      <x:c r="W2" s="130"/>
      <x:c r="X2" s="130"/>
      <x:c r="Y2" s="130"/>
      <x:c r="Z2" s="130"/>
      <x:c r="AA2" s="130"/>
      <x:c r="AB2" s="130"/>
      <x:c r="AC2" s="130"/>
      <x:c r="AD2" s="130"/>
      <x:c r="AE2" s="130"/>
      <x:c r="AF2" s="130"/>
      <x:c r="AG2" s="130"/>
      <x:c r="AH2" s="130"/>
      <x:c r="AI2" s="130"/>
      <x:c r="AJ2" s="130"/>
      <x:c r="AK2" s="130"/>
      <x:c r="AL2" s="130"/>
      <x:c r="AM2" s="130"/>
      <x:c r="AN2" s="130"/>
      <x:c r="AO2" s="130"/>
      <x:c r="AP2" s="130"/>
      <x:c r="AQ2" s="130"/>
      <x:c r="AR2" s="130"/>
      <x:c r="AS2" s="130"/>
      <x:c r="AT2" s="130"/>
      <x:c r="AU2" s="130"/>
      <x:c r="AV2" s="130"/>
      <x:c r="AW2" s="130"/>
      <x:c r="AX2" s="130"/>
      <x:c r="AY2" s="130"/>
      <x:c r="AZ2" s="130"/>
    </x:row>
    <x:row r="3" ht="24" customHeight="1">
      <x:c r="A3" s="12" t="str">
        <x:v>Operational carbon, cost, productivity and cleaner-air co-benefits</x:v>
      </x:c>
      <x:c r="B3" s="12"/>
      <x:c r="C3" s="12"/>
      <x:c r="D3" s="12"/>
      <x:c r="E3" s="12"/>
      <x:c r="F3" s="12"/>
      <x:c r="G3" s="12"/>
      <x:c r="H3" s="12"/>
      <x:c r="I3" s="12"/>
      <x:c r="J3" s="12"/>
      <x:c r="K3" s="12"/>
      <x:c r="L3" s="12"/>
      <x:c r="M3" s="12"/>
      <x:c r="N3" s="12"/>
      <x:c r="O3" s="130"/>
      <x:c r="P3" s="130"/>
      <x:c r="Q3" s="130"/>
      <x:c r="R3" s="130"/>
      <x:c r="S3" s="130"/>
      <x:c r="T3" s="130"/>
      <x:c r="U3" s="130"/>
      <x:c r="V3" s="130"/>
      <x:c r="W3" s="130"/>
      <x:c r="X3" s="130"/>
      <x:c r="Y3" s="130"/>
      <x:c r="Z3" s="130"/>
      <x:c r="AA3" s="130"/>
      <x:c r="AB3" s="130"/>
      <x:c r="AC3" s="130"/>
      <x:c r="AD3" s="130"/>
      <x:c r="AE3" s="130"/>
      <x:c r="AF3" s="130"/>
      <x:c r="AG3" s="130"/>
      <x:c r="AH3" s="130"/>
      <x:c r="AI3" s="130"/>
      <x:c r="AJ3" s="130"/>
      <x:c r="AK3" s="130"/>
      <x:c r="AL3" s="130"/>
      <x:c r="AM3" s="130"/>
      <x:c r="AN3" s="130"/>
      <x:c r="AO3" s="130"/>
      <x:c r="AP3" s="130"/>
      <x:c r="AQ3" s="130"/>
      <x:c r="AR3" s="130"/>
      <x:c r="AS3" s="130"/>
      <x:c r="AT3" s="130"/>
      <x:c r="AU3" s="130"/>
      <x:c r="AV3" s="130"/>
      <x:c r="AW3" s="130"/>
      <x:c r="AX3" s="130"/>
      <x:c r="AY3" s="130"/>
      <x:c r="AZ3" s="130"/>
    </x:row>
    <x:row r="4" ht="24" customHeight="1">
      <x:c r="A4" s="130"/>
      <x:c r="B4" s="130"/>
      <x:c r="C4" s="130"/>
      <x:c r="D4" s="130"/>
      <x:c r="E4" s="130"/>
      <x:c r="F4" s="130"/>
      <x:c r="G4" s="130"/>
      <x:c r="H4" s="130"/>
      <x:c r="I4" s="130"/>
      <x:c r="J4" s="130"/>
      <x:c r="K4" s="130"/>
      <x:c r="L4" s="130"/>
      <x:c r="M4" s="130"/>
      <x:c r="N4" s="130"/>
      <x:c r="O4" s="130"/>
      <x:c r="P4" s="130"/>
      <x:c r="Q4" s="130"/>
      <x:c r="R4" s="130"/>
      <x:c r="S4" s="130"/>
      <x:c r="T4" s="130"/>
      <x:c r="U4" s="130"/>
      <x:c r="V4" s="130"/>
      <x:c r="W4" s="130"/>
      <x:c r="X4" s="130"/>
      <x:c r="Y4" s="130"/>
      <x:c r="Z4" s="130"/>
      <x:c r="AA4" s="130"/>
      <x:c r="AB4" s="130"/>
      <x:c r="AC4" s="130"/>
      <x:c r="AD4" s="130"/>
      <x:c r="AE4" s="130"/>
      <x:c r="AF4" s="130"/>
      <x:c r="AG4" s="130"/>
      <x:c r="AH4" s="130"/>
      <x:c r="AI4" s="130"/>
      <x:c r="AJ4" s="130"/>
      <x:c r="AK4" s="130"/>
      <x:c r="AL4" s="130"/>
      <x:c r="AM4" s="130"/>
      <x:c r="AN4" s="130"/>
      <x:c r="AO4" s="130"/>
      <x:c r="AP4" s="130"/>
      <x:c r="AQ4" s="130"/>
      <x:c r="AR4" s="130"/>
      <x:c r="AS4" s="130"/>
      <x:c r="AT4" s="130"/>
      <x:c r="AU4" s="130"/>
      <x:c r="AV4" s="130"/>
      <x:c r="AW4" s="130"/>
      <x:c r="AX4" s="130"/>
      <x:c r="AY4" s="130"/>
      <x:c r="AZ4" s="130"/>
    </x:row>
    <x:row r="5" ht="24" customHeight="1">
      <x:c r="A5" s="160" t="str">
        <x:v>Conventional diesel plant + diesel generator</x:v>
      </x:c>
      <x:c r="B5" s="160"/>
      <x:c r="C5" s="160"/>
      <x:c r="D5" s="160" t="str">
        <x:v>Stage V diesel + anti-idling + right-sized generator</x:v>
      </x:c>
      <x:c r="E5" s="160"/>
      <x:c r="F5" s="160"/>
      <x:c r="G5" s="160" t="str">
        <x:v>Grid-connected electric plant</x:v>
      </x:c>
      <x:c r="H5" s="160"/>
      <x:c r="I5" s="160"/>
      <x:c r="J5" s="160" t="str">
        <x:v>Electric plant + battery storage + smart charging</x:v>
      </x:c>
      <x:c r="K5" s="160"/>
      <x:c r="L5" s="160"/>
      <x:c r="M5" s="130"/>
      <x:c r="N5" s="130"/>
      <x:c r="O5" s="130"/>
      <x:c r="P5" s="130"/>
      <x:c r="Q5" s="130"/>
      <x:c r="R5" s="130"/>
      <x:c r="S5" s="130"/>
      <x:c r="T5" s="130"/>
      <x:c r="U5" s="130"/>
      <x:c r="V5" s="130"/>
      <x:c r="W5" s="130"/>
      <x:c r="X5" s="130"/>
      <x:c r="Y5" s="130"/>
      <x:c r="Z5" s="130"/>
      <x:c r="AA5" s="130"/>
      <x:c r="AB5" s="130"/>
      <x:c r="AC5" s="130"/>
      <x:c r="AD5" s="130"/>
      <x:c r="AE5" s="130"/>
      <x:c r="AF5" s="130"/>
      <x:c r="AG5" s="130"/>
      <x:c r="AH5" s="130"/>
      <x:c r="AI5" s="130"/>
      <x:c r="AJ5" s="130"/>
      <x:c r="AK5" s="130"/>
      <x:c r="AL5" s="130"/>
      <x:c r="AM5" s="130"/>
      <x:c r="AN5" s="130"/>
      <x:c r="AO5" s="130"/>
      <x:c r="AP5" s="130"/>
      <x:c r="AQ5" s="130"/>
      <x:c r="AR5" s="130"/>
      <x:c r="AS5" s="130"/>
      <x:c r="AT5" s="130"/>
      <x:c r="AU5" s="130"/>
      <x:c r="AV5" s="130"/>
      <x:c r="AW5" s="130"/>
      <x:c r="AX5" s="130"/>
      <x:c r="AY5" s="130"/>
      <x:c r="AZ5" s="130"/>
    </x:row>
    <x:row r="6" ht="24" customHeight="1">
      <x:c r="A6" s="160"/>
      <x:c r="B6" s="160"/>
      <x:c r="C6" s="160"/>
      <x:c r="D6" s="160"/>
      <x:c r="E6" s="160"/>
      <x:c r="F6" s="160"/>
      <x:c r="G6" s="160"/>
      <x:c r="H6" s="160"/>
      <x:c r="I6" s="160"/>
      <x:c r="J6" s="160"/>
      <x:c r="K6" s="160"/>
      <x:c r="L6" s="160"/>
      <x:c r="M6" s="130"/>
      <x:c r="N6" s="130"/>
      <x:c r="O6" s="130"/>
      <x:c r="P6" s="130"/>
      <x:c r="Q6" s="130"/>
      <x:c r="R6" s="130"/>
      <x:c r="S6" s="130"/>
      <x:c r="T6" s="130"/>
      <x:c r="U6" s="130"/>
      <x:c r="V6" s="130"/>
      <x:c r="W6" s="130"/>
      <x:c r="X6" s="130"/>
      <x:c r="Y6" s="130"/>
      <x:c r="Z6" s="130"/>
      <x:c r="AA6" s="130"/>
      <x:c r="AB6" s="130"/>
      <x:c r="AC6" s="130"/>
      <x:c r="AD6" s="130"/>
      <x:c r="AE6" s="130"/>
      <x:c r="AF6" s="130"/>
      <x:c r="AG6" s="130"/>
      <x:c r="AH6" s="130"/>
      <x:c r="AI6" s="130"/>
      <x:c r="AJ6" s="130"/>
      <x:c r="AK6" s="130"/>
      <x:c r="AL6" s="130"/>
      <x:c r="AM6" s="130"/>
      <x:c r="AN6" s="130"/>
      <x:c r="AO6" s="130"/>
      <x:c r="AP6" s="130"/>
      <x:c r="AQ6" s="130"/>
      <x:c r="AR6" s="130"/>
      <x:c r="AS6" s="130"/>
      <x:c r="AT6" s="130"/>
      <x:c r="AU6" s="130"/>
      <x:c r="AV6" s="130"/>
      <x:c r="AW6" s="130"/>
      <x:c r="AX6" s="130"/>
      <x:c r="AY6" s="130"/>
      <x:c r="AZ6" s="130"/>
    </x:row>
    <x:row r="7" ht="24" customHeight="1">
      <x:c r="A7" s="160"/>
      <x:c r="B7" s="160"/>
      <x:c r="C7" s="160"/>
      <x:c r="D7" s="160"/>
      <x:c r="E7" s="160"/>
      <x:c r="F7" s="160"/>
      <x:c r="G7" s="160"/>
      <x:c r="H7" s="160"/>
      <x:c r="I7" s="160"/>
      <x:c r="J7" s="160"/>
      <x:c r="K7" s="160"/>
      <x:c r="L7" s="160"/>
      <x:c r="M7" s="130"/>
      <x:c r="N7" s="130"/>
      <x:c r="O7" s="130"/>
      <x:c r="P7" s="130"/>
      <x:c r="Q7" s="130"/>
      <x:c r="R7" s="130"/>
      <x:c r="S7" s="130"/>
      <x:c r="T7" s="130"/>
      <x:c r="U7" s="130"/>
      <x:c r="V7" s="130"/>
      <x:c r="W7" s="130"/>
      <x:c r="X7" s="130"/>
      <x:c r="Y7" s="130"/>
      <x:c r="Z7" s="130"/>
      <x:c r="AA7" s="130"/>
      <x:c r="AB7" s="130"/>
      <x:c r="AC7" s="130"/>
      <x:c r="AD7" s="130"/>
      <x:c r="AE7" s="130"/>
      <x:c r="AF7" s="130"/>
      <x:c r="AG7" s="130"/>
      <x:c r="AH7" s="130"/>
      <x:c r="AI7" s="130"/>
      <x:c r="AJ7" s="130"/>
      <x:c r="AK7" s="130"/>
      <x:c r="AL7" s="130"/>
      <x:c r="AM7" s="130"/>
      <x:c r="AN7" s="130"/>
      <x:c r="AO7" s="130"/>
      <x:c r="AP7" s="130"/>
      <x:c r="AQ7" s="130"/>
      <x:c r="AR7" s="130"/>
      <x:c r="AS7" s="130"/>
      <x:c r="AT7" s="130"/>
      <x:c r="AU7" s="130"/>
      <x:c r="AV7" s="130"/>
      <x:c r="AW7" s="130"/>
      <x:c r="AX7" s="130"/>
      <x:c r="AY7" s="130"/>
      <x:c r="AZ7" s="130"/>
    </x:row>
    <x:row r="8" ht="24" customHeight="1">
      <x:c r="A8" s="160"/>
      <x:c r="B8" s="160"/>
      <x:c r="C8" s="160"/>
      <x:c r="D8" s="160"/>
      <x:c r="E8" s="160"/>
      <x:c r="F8" s="160"/>
      <x:c r="G8" s="160"/>
      <x:c r="H8" s="160"/>
      <x:c r="I8" s="160"/>
      <x:c r="J8" s="160"/>
      <x:c r="K8" s="160"/>
      <x:c r="L8" s="160"/>
      <x:c r="M8" s="130"/>
      <x:c r="N8" s="130"/>
      <x:c r="O8" s="130"/>
      <x:c r="P8" s="130"/>
      <x:c r="Q8" s="130"/>
      <x:c r="R8" s="130"/>
      <x:c r="S8" s="130"/>
      <x:c r="T8" s="130"/>
      <x:c r="U8" s="130"/>
      <x:c r="V8" s="130"/>
      <x:c r="W8" s="130"/>
      <x:c r="X8" s="130"/>
      <x:c r="Y8" s="130"/>
      <x:c r="Z8" s="130"/>
      <x:c r="AA8" s="130"/>
      <x:c r="AB8" s="130"/>
      <x:c r="AC8" s="130"/>
      <x:c r="AD8" s="130"/>
      <x:c r="AE8" s="130"/>
      <x:c r="AF8" s="130"/>
      <x:c r="AG8" s="130"/>
      <x:c r="AH8" s="130"/>
      <x:c r="AI8" s="130"/>
      <x:c r="AJ8" s="130"/>
      <x:c r="AK8" s="130"/>
      <x:c r="AL8" s="130"/>
      <x:c r="AM8" s="130"/>
      <x:c r="AN8" s="130"/>
      <x:c r="AO8" s="130"/>
      <x:c r="AP8" s="130"/>
      <x:c r="AQ8" s="130"/>
      <x:c r="AR8" s="130"/>
      <x:c r="AS8" s="130"/>
      <x:c r="AT8" s="130"/>
      <x:c r="AU8" s="130"/>
      <x:c r="AV8" s="130"/>
      <x:c r="AW8" s="130"/>
      <x:c r="AX8" s="130"/>
      <x:c r="AY8" s="130"/>
      <x:c r="AZ8" s="130"/>
    </x:row>
    <x:row r="9" ht="24" customHeight="1">
      <x:c r="A9" s="160"/>
      <x:c r="B9" s="160"/>
      <x:c r="C9" s="160"/>
      <x:c r="D9" s="160"/>
      <x:c r="E9" s="160"/>
      <x:c r="F9" s="160"/>
      <x:c r="G9" s="160"/>
      <x:c r="H9" s="160"/>
      <x:c r="I9" s="160"/>
      <x:c r="J9" s="160"/>
      <x:c r="K9" s="160"/>
      <x:c r="L9" s="160"/>
      <x:c r="M9" s="130"/>
      <x:c r="N9" s="130"/>
      <x:c r="O9" s="130"/>
      <x:c r="P9" s="130"/>
      <x:c r="Q9" s="130"/>
      <x:c r="R9" s="130"/>
      <x:c r="S9" s="130"/>
      <x:c r="T9" s="130"/>
      <x:c r="U9" s="130"/>
      <x:c r="V9" s="130"/>
      <x:c r="W9" s="130"/>
      <x:c r="X9" s="130"/>
      <x:c r="Y9" s="130"/>
      <x:c r="Z9" s="130"/>
      <x:c r="AA9" s="130"/>
      <x:c r="AB9" s="130"/>
      <x:c r="AC9" s="130"/>
      <x:c r="AD9" s="130"/>
      <x:c r="AE9" s="130"/>
      <x:c r="AF9" s="130"/>
      <x:c r="AG9" s="130"/>
      <x:c r="AH9" s="130"/>
      <x:c r="AI9" s="130"/>
      <x:c r="AJ9" s="130"/>
      <x:c r="AK9" s="130"/>
      <x:c r="AL9" s="130"/>
      <x:c r="AM9" s="130"/>
      <x:c r="AN9" s="130"/>
      <x:c r="AO9" s="130"/>
      <x:c r="AP9" s="130"/>
      <x:c r="AQ9" s="130"/>
      <x:c r="AR9" s="130"/>
      <x:c r="AS9" s="130"/>
      <x:c r="AT9" s="130"/>
      <x:c r="AU9" s="130"/>
      <x:c r="AV9" s="130"/>
      <x:c r="AW9" s="130"/>
      <x:c r="AX9" s="130"/>
      <x:c r="AY9" s="130"/>
      <x:c r="AZ9" s="130"/>
    </x:row>
    <x:row r="10" ht="24" customHeight="1">
      <x:c r="A10" s="99" t="str">
        <x:v>Operational CO₂e</x:v>
      </x:c>
      <x:c r="B10" s="99" t="str"/>
      <x:c r="C10" s="99" t="str"/>
      <x:c r="D10" s="99" t="str">
        <x:v>Operational CO₂e</x:v>
      </x:c>
      <x:c r="E10" s="99" t="str"/>
      <x:c r="F10" s="99" t="str"/>
      <x:c r="G10" s="99" t="str">
        <x:v>Operational CO₂e</x:v>
      </x:c>
      <x:c r="H10" s="99" t="str"/>
      <x:c r="I10" s="99" t="str"/>
      <x:c r="J10" s="99" t="str">
        <x:v>Operational CO₂e</x:v>
      </x:c>
      <x:c r="K10" s="99" t="str"/>
      <x:c r="L10" s="99" t="str"/>
      <x:c r="M10" s="130"/>
      <x:c r="N10" s="130"/>
      <x:c r="O10" s="130"/>
      <x:c r="P10" s="130"/>
      <x:c r="Q10" s="130"/>
      <x:c r="R10" s="130"/>
      <x:c r="S10" s="130"/>
      <x:c r="T10" s="130"/>
      <x:c r="U10" s="130"/>
      <x:c r="V10" s="130"/>
      <x:c r="W10" s="130"/>
      <x:c r="X10" s="130"/>
      <x:c r="Y10" s="130"/>
      <x:c r="Z10" s="130"/>
      <x:c r="AA10" s="130"/>
      <x:c r="AB10" s="130"/>
      <x:c r="AC10" s="130"/>
      <x:c r="AD10" s="130"/>
      <x:c r="AE10" s="130"/>
      <x:c r="AF10" s="130"/>
      <x:c r="AG10" s="130"/>
      <x:c r="AH10" s="130"/>
      <x:c r="AI10" s="130"/>
      <x:c r="AJ10" s="130"/>
      <x:c r="AK10" s="130"/>
      <x:c r="AL10" s="130"/>
      <x:c r="AM10" s="130"/>
      <x:c r="AN10" s="130"/>
      <x:c r="AO10" s="130"/>
      <x:c r="AP10" s="130"/>
      <x:c r="AQ10" s="130"/>
      <x:c r="AR10" s="130"/>
      <x:c r="AS10" s="130"/>
      <x:c r="AT10" s="130"/>
      <x:c r="AU10" s="130"/>
      <x:c r="AV10" s="130"/>
      <x:c r="AW10" s="130"/>
      <x:c r="AX10" s="130"/>
      <x:c r="AY10" s="130"/>
      <x:c r="AZ10" s="130"/>
    </x:row>
    <x:row r="11" ht="24" customHeight="1">
      <x:c r="A11" s="161" t="n">
        <x:f>Model!AI5</x:f>
        <x:v>1975.4780256000001</x:v>
      </x:c>
      <x:c r="B11" s="130"/>
      <x:c r="C11" s="130"/>
      <x:c r="D11" s="161" t="n">
        <x:f>Model!AI6</x:f>
        <x:v>1632.9006216</x:v>
      </x:c>
      <x:c r="E11" s="130"/>
      <x:c r="F11" s="130"/>
      <x:c r="G11" s="161" t="n">
        <x:f>Model!AI7</x:f>
        <x:v>160.17407224800002</x:v>
      </x:c>
      <x:c r="H11" s="130"/>
      <x:c r="I11" s="130"/>
      <x:c r="J11" s="161" t="n">
        <x:f>Model!AI8</x:f>
        <x:v>116.60672459654404</x:v>
      </x:c>
      <x:c r="K11" s="130"/>
      <x:c r="L11" s="130"/>
      <x:c r="M11" s="130"/>
      <x:c r="N11" s="130"/>
      <x:c r="O11" s="130"/>
      <x:c r="P11" s="130"/>
      <x:c r="Q11" s="130"/>
      <x:c r="R11" s="130"/>
      <x:c r="S11" s="130"/>
      <x:c r="T11" s="130"/>
      <x:c r="U11" s="130"/>
      <x:c r="V11" s="130"/>
      <x:c r="W11" s="130"/>
      <x:c r="X11" s="130"/>
      <x:c r="Y11" s="130"/>
      <x:c r="Z11" s="130"/>
      <x:c r="AA11" s="130"/>
      <x:c r="AB11" s="130"/>
      <x:c r="AC11" s="130"/>
      <x:c r="AD11" s="130"/>
      <x:c r="AE11" s="130"/>
      <x:c r="AF11" s="130"/>
      <x:c r="AG11" s="130"/>
      <x:c r="AH11" s="130"/>
      <x:c r="AI11" s="130"/>
      <x:c r="AJ11" s="130"/>
      <x:c r="AK11" s="130"/>
      <x:c r="AL11" s="130"/>
      <x:c r="AM11" s="130"/>
      <x:c r="AN11" s="130"/>
      <x:c r="AO11" s="130"/>
      <x:c r="AP11" s="130"/>
      <x:c r="AQ11" s="130"/>
      <x:c r="AR11" s="130"/>
      <x:c r="AS11" s="130"/>
      <x:c r="AT11" s="130"/>
      <x:c r="AU11" s="130"/>
      <x:c r="AV11" s="130"/>
      <x:c r="AW11" s="130"/>
      <x:c r="AX11" s="130"/>
      <x:c r="AY11" s="130"/>
      <x:c r="AZ11" s="130"/>
    </x:row>
    <x:row r="12" ht="24" customHeight="1">
      <x:c r="A12" s="130"/>
      <x:c r="B12" s="130"/>
      <x:c r="C12" s="130"/>
      <x:c r="D12" s="130"/>
      <x:c r="E12" s="130"/>
      <x:c r="F12" s="130"/>
      <x:c r="G12" s="130"/>
      <x:c r="H12" s="130"/>
      <x:c r="I12" s="130"/>
      <x:c r="J12" s="130"/>
      <x:c r="K12" s="130"/>
      <x:c r="L12" s="130"/>
      <x:c r="M12" s="130"/>
      <x:c r="N12" s="130"/>
      <x:c r="O12" s="130"/>
      <x:c r="P12" s="130"/>
      <x:c r="Q12" s="130"/>
      <x:c r="R12" s="130"/>
      <x:c r="S12" s="130"/>
      <x:c r="T12" s="130"/>
      <x:c r="U12" s="130"/>
      <x:c r="V12" s="130"/>
      <x:c r="W12" s="130"/>
      <x:c r="X12" s="130"/>
      <x:c r="Y12" s="130"/>
      <x:c r="Z12" s="130"/>
      <x:c r="AA12" s="130"/>
      <x:c r="AB12" s="130"/>
      <x:c r="AC12" s="130"/>
      <x:c r="AD12" s="130"/>
      <x:c r="AE12" s="130"/>
      <x:c r="AF12" s="130"/>
      <x:c r="AG12" s="130"/>
      <x:c r="AH12" s="130"/>
      <x:c r="AI12" s="130"/>
      <x:c r="AJ12" s="130"/>
      <x:c r="AK12" s="130"/>
      <x:c r="AL12" s="130"/>
      <x:c r="AM12" s="130"/>
      <x:c r="AN12" s="130"/>
      <x:c r="AO12" s="130"/>
      <x:c r="AP12" s="130"/>
      <x:c r="AQ12" s="130"/>
      <x:c r="AR12" s="130"/>
      <x:c r="AS12" s="130"/>
      <x:c r="AT12" s="130"/>
      <x:c r="AU12" s="130"/>
      <x:c r="AV12" s="130"/>
      <x:c r="AW12" s="130"/>
      <x:c r="AX12" s="130"/>
      <x:c r="AY12" s="130"/>
      <x:c r="AZ12" s="130"/>
    </x:row>
    <x:row r="13" ht="24" customHeight="1">
      <x:c r="A13" s="32" t="str">
        <x:v>Strategy</x:v>
      </x:c>
      <x:c r="B13" s="32" t="str">
        <x:v>Operational CO₂e (kg)</x:v>
      </x:c>
      <x:c r="C13" s="32" t="str">
        <x:v>Total cost (£)</x:v>
      </x:c>
      <x:c r="D13" s="32" t="str">
        <x:v>Carbon reduction</x:v>
      </x:c>
      <x:c r="E13" s="32" t="str">
        <x:v>Productivity index</x:v>
      </x:c>
      <x:c r="F13" s="32" t="str">
        <x:v>Air-quality benefit</x:v>
      </x:c>
      <x:c r="G13" s="130"/>
      <x:c r="H13" s="130"/>
      <x:c r="I13" s="130"/>
      <x:c r="J13" s="130"/>
      <x:c r="K13" s="130"/>
      <x:c r="L13" s="130"/>
      <x:c r="M13" s="130"/>
      <x:c r="N13" s="130"/>
      <x:c r="O13" s="130"/>
      <x:c r="P13" s="130"/>
      <x:c r="Q13" s="130"/>
      <x:c r="R13" s="130"/>
      <x:c r="S13" s="130"/>
      <x:c r="T13" s="130"/>
      <x:c r="U13" s="130"/>
      <x:c r="V13" s="130"/>
      <x:c r="W13" s="130"/>
      <x:c r="X13" s="130"/>
      <x:c r="Y13" s="130"/>
      <x:c r="Z13" s="130"/>
      <x:c r="AA13" s="130"/>
      <x:c r="AB13" s="130"/>
      <x:c r="AC13" s="130"/>
      <x:c r="AD13" s="130"/>
      <x:c r="AE13" s="130"/>
      <x:c r="AF13" s="130"/>
      <x:c r="AG13" s="130"/>
      <x:c r="AH13" s="130"/>
      <x:c r="AI13" s="130"/>
      <x:c r="AJ13" s="130"/>
      <x:c r="AK13" s="130"/>
      <x:c r="AL13" s="130"/>
      <x:c r="AM13" s="130"/>
      <x:c r="AN13" s="130"/>
      <x:c r="AO13" s="130"/>
      <x:c r="AP13" s="130"/>
      <x:c r="AQ13" s="130"/>
      <x:c r="AR13" s="130"/>
      <x:c r="AS13" s="130"/>
      <x:c r="AT13" s="130"/>
      <x:c r="AU13" s="130"/>
      <x:c r="AV13" s="130"/>
      <x:c r="AW13" s="130"/>
      <x:c r="AX13" s="130"/>
      <x:c r="AY13" s="130"/>
      <x:c r="AZ13" s="130"/>
    </x:row>
    <x:row r="14" ht="24" customHeight="1">
      <x:c r="A14" s="131" t="str">
        <x:v>Conventional diesel</x:v>
      </x:c>
      <x:c r="B14" s="162" t="n">
        <x:f>Model!AI5</x:f>
        <x:v>1975.4780256000001</x:v>
      </x:c>
      <x:c r="C14" s="162" t="n">
        <x:f>Model!AM5</x:f>
        <x:v>8385.192</x:v>
      </x:c>
      <x:c r="D14" s="163" t="n">
        <x:f>Model!AN5</x:f>
        <x:v>0</x:v>
      </x:c>
      <x:c r="E14" s="131" t="n">
        <x:f>Model!X5</x:f>
        <x:v>100</x:v>
      </x:c>
      <x:c r="F14" s="131" t="n">
        <x:f>Model!AQ5</x:f>
        <x:v>0</x:v>
      </x:c>
      <x:c r="G14" s="130"/>
      <x:c r="H14" s="130"/>
      <x:c r="I14" s="130"/>
      <x:c r="J14" s="130"/>
      <x:c r="K14" s="130"/>
      <x:c r="L14" s="130"/>
      <x:c r="M14" s="130"/>
      <x:c r="N14" s="130"/>
      <x:c r="O14" s="130"/>
      <x:c r="P14" s="130"/>
      <x:c r="Q14" s="130"/>
      <x:c r="R14" s="130"/>
      <x:c r="S14" s="130"/>
      <x:c r="T14" s="130"/>
      <x:c r="U14" s="130"/>
      <x:c r="V14" s="130"/>
      <x:c r="W14" s="130"/>
      <x:c r="X14" s="130"/>
      <x:c r="Y14" s="130"/>
      <x:c r="Z14" s="130"/>
      <x:c r="AA14" s="130"/>
      <x:c r="AB14" s="130"/>
      <x:c r="AC14" s="130"/>
      <x:c r="AD14" s="130"/>
      <x:c r="AE14" s="130"/>
      <x:c r="AF14" s="130"/>
      <x:c r="AG14" s="130"/>
      <x:c r="AH14" s="130"/>
      <x:c r="AI14" s="130"/>
      <x:c r="AJ14" s="130"/>
      <x:c r="AK14" s="130"/>
      <x:c r="AL14" s="130"/>
      <x:c r="AM14" s="130"/>
      <x:c r="AN14" s="130"/>
      <x:c r="AO14" s="130"/>
      <x:c r="AP14" s="130"/>
      <x:c r="AQ14" s="130"/>
      <x:c r="AR14" s="130"/>
      <x:c r="AS14" s="130"/>
      <x:c r="AT14" s="130"/>
      <x:c r="AU14" s="130"/>
      <x:c r="AV14" s="130"/>
      <x:c r="AW14" s="130"/>
      <x:c r="AX14" s="130"/>
      <x:c r="AY14" s="130"/>
      <x:c r="AZ14" s="130"/>
    </x:row>
    <x:row r="15" ht="24" customHeight="1">
      <x:c r="A15" s="131" t="str">
        <x:v>Efficient diesel</x:v>
      </x:c>
      <x:c r="B15" s="162" t="n">
        <x:f>Model!AI6</x:f>
        <x:v>1632.9006216</x:v>
      </x:c>
      <x:c r="C15" s="162" t="n">
        <x:f>Model!AM6</x:f>
        <x:v>8629.662</x:v>
      </x:c>
      <x:c r="D15" s="163" t="n">
        <x:f>Model!AN6</x:f>
        <x:v>0.173414940364093</x:v>
      </x:c>
      <x:c r="E15" s="131" t="n">
        <x:f>Model!X6</x:f>
        <x:v>100</x:v>
      </x:c>
      <x:c r="F15" s="131" t="n">
        <x:f>Model!AQ6</x:f>
        <x:v>70</x:v>
      </x:c>
      <x:c r="G15" s="130"/>
      <x:c r="H15" s="130"/>
      <x:c r="I15" s="130"/>
      <x:c r="J15" s="130"/>
      <x:c r="K15" s="130"/>
      <x:c r="L15" s="130"/>
      <x:c r="M15" s="130"/>
      <x:c r="N15" s="130"/>
      <x:c r="O15" s="130"/>
      <x:c r="P15" s="130"/>
      <x:c r="Q15" s="130"/>
      <x:c r="R15" s="130"/>
      <x:c r="S15" s="130"/>
      <x:c r="T15" s="130"/>
      <x:c r="U15" s="130"/>
      <x:c r="V15" s="130"/>
      <x:c r="W15" s="130"/>
      <x:c r="X15" s="130"/>
      <x:c r="Y15" s="130"/>
      <x:c r="Z15" s="130"/>
      <x:c r="AA15" s="130"/>
      <x:c r="AB15" s="130"/>
      <x:c r="AC15" s="130"/>
      <x:c r="AD15" s="130"/>
      <x:c r="AE15" s="130"/>
      <x:c r="AF15" s="130"/>
      <x:c r="AG15" s="130"/>
      <x:c r="AH15" s="130"/>
      <x:c r="AI15" s="130"/>
      <x:c r="AJ15" s="130"/>
      <x:c r="AK15" s="130"/>
      <x:c r="AL15" s="130"/>
      <x:c r="AM15" s="130"/>
      <x:c r="AN15" s="130"/>
      <x:c r="AO15" s="130"/>
      <x:c r="AP15" s="130"/>
      <x:c r="AQ15" s="130"/>
      <x:c r="AR15" s="130"/>
      <x:c r="AS15" s="130"/>
      <x:c r="AT15" s="130"/>
      <x:c r="AU15" s="130"/>
      <x:c r="AV15" s="130"/>
      <x:c r="AW15" s="130"/>
      <x:c r="AX15" s="130"/>
      <x:c r="AY15" s="130"/>
      <x:c r="AZ15" s="130"/>
    </x:row>
    <x:row r="16" ht="24" customHeight="1">
      <x:c r="A16" s="131" t="str">
        <x:v>Grid electric</x:v>
      </x:c>
      <x:c r="B16" s="162" t="n">
        <x:f>Model!AI7</x:f>
        <x:v>160.17407224800002</x:v>
      </x:c>
      <x:c r="C16" s="162" t="n">
        <x:f>Model!AM7</x:f>
        <x:v>9005.769075</x:v>
      </x:c>
      <x:c r="D16" s="163" t="n">
        <x:f>Model!AN7</x:f>
        <x:v>0.9189188286721887</x:v>
      </x:c>
      <x:c r="E16" s="131" t="n">
        <x:f>Model!X7</x:f>
        <x:v>97</x:v>
      </x:c>
      <x:c r="F16" s="131" t="n">
        <x:f>Model!AQ7</x:f>
        <x:v>100</x:v>
      </x:c>
      <x:c r="G16" s="130"/>
      <x:c r="H16" s="130"/>
      <x:c r="I16" s="130"/>
      <x:c r="J16" s="130"/>
      <x:c r="K16" s="130"/>
      <x:c r="L16" s="130"/>
      <x:c r="M16" s="130"/>
      <x:c r="N16" s="130"/>
      <x:c r="O16" s="130"/>
      <x:c r="P16" s="130"/>
      <x:c r="Q16" s="130"/>
      <x:c r="R16" s="130"/>
      <x:c r="S16" s="130"/>
      <x:c r="T16" s="130"/>
      <x:c r="U16" s="130"/>
      <x:c r="V16" s="130"/>
      <x:c r="W16" s="130"/>
      <x:c r="X16" s="130"/>
      <x:c r="Y16" s="130"/>
      <x:c r="Z16" s="130"/>
      <x:c r="AA16" s="130"/>
      <x:c r="AB16" s="130"/>
      <x:c r="AC16" s="130"/>
      <x:c r="AD16" s="130"/>
      <x:c r="AE16" s="130"/>
      <x:c r="AF16" s="130"/>
      <x:c r="AG16" s="130"/>
      <x:c r="AH16" s="130"/>
      <x:c r="AI16" s="130"/>
      <x:c r="AJ16" s="130"/>
      <x:c r="AK16" s="130"/>
      <x:c r="AL16" s="130"/>
      <x:c r="AM16" s="130"/>
      <x:c r="AN16" s="130"/>
      <x:c r="AO16" s="130"/>
      <x:c r="AP16" s="130"/>
      <x:c r="AQ16" s="130"/>
      <x:c r="AR16" s="130"/>
      <x:c r="AS16" s="130"/>
      <x:c r="AT16" s="130"/>
      <x:c r="AU16" s="130"/>
      <x:c r="AV16" s="130"/>
      <x:c r="AW16" s="130"/>
      <x:c r="AX16" s="130"/>
      <x:c r="AY16" s="130"/>
      <x:c r="AZ16" s="130"/>
    </x:row>
    <x:row r="17" ht="24" customHeight="1">
      <x:c r="A17" s="131" t="str">
        <x:v>Electric + BESS</x:v>
      </x:c>
      <x:c r="B17" s="162" t="n">
        <x:f>Model!AI8</x:f>
        <x:v>116.60672459654404</x:v>
      </x:c>
      <x:c r="C17" s="162" t="n">
        <x:f>Model!AM8</x:f>
        <x:v>10542.461364</x:v>
      </x:c>
      <x:c r="D17" s="163" t="n">
        <x:f>Model!AN8</x:f>
        <x:v>0.9409729072733534</x:v>
      </x:c>
      <x:c r="E17" s="131" t="n">
        <x:f>Model!X8</x:f>
        <x:v>99</x:v>
      </x:c>
      <x:c r="F17" s="131" t="n">
        <x:f>Model!AQ8</x:f>
        <x:v>100</x:v>
      </x:c>
      <x:c r="G17" s="130"/>
      <x:c r="H17" s="130"/>
      <x:c r="I17" s="130"/>
      <x:c r="J17" s="130"/>
      <x:c r="K17" s="130"/>
      <x:c r="L17" s="130"/>
      <x:c r="M17" s="130"/>
      <x:c r="N17" s="130"/>
      <x:c r="O17" s="130"/>
      <x:c r="P17" s="130"/>
      <x:c r="Q17" s="130"/>
      <x:c r="R17" s="130"/>
      <x:c r="S17" s="130"/>
      <x:c r="T17" s="130"/>
      <x:c r="U17" s="130"/>
      <x:c r="V17" s="130"/>
      <x:c r="W17" s="130"/>
      <x:c r="X17" s="130"/>
      <x:c r="Y17" s="130"/>
      <x:c r="Z17" s="130"/>
      <x:c r="AA17" s="130"/>
      <x:c r="AB17" s="130"/>
      <x:c r="AC17" s="130"/>
      <x:c r="AD17" s="130"/>
      <x:c r="AE17" s="130"/>
      <x:c r="AF17" s="130"/>
      <x:c r="AG17" s="130"/>
      <x:c r="AH17" s="130"/>
      <x:c r="AI17" s="130"/>
      <x:c r="AJ17" s="130"/>
      <x:c r="AK17" s="130"/>
      <x:c r="AL17" s="130"/>
      <x:c r="AM17" s="130"/>
      <x:c r="AN17" s="130"/>
      <x:c r="AO17" s="130"/>
      <x:c r="AP17" s="130"/>
      <x:c r="AQ17" s="130"/>
      <x:c r="AR17" s="130"/>
      <x:c r="AS17" s="130"/>
      <x:c r="AT17" s="130"/>
      <x:c r="AU17" s="130"/>
      <x:c r="AV17" s="130"/>
      <x:c r="AW17" s="130"/>
      <x:c r="AX17" s="130"/>
      <x:c r="AY17" s="130"/>
      <x:c r="AZ17" s="130"/>
    </x:row>
    <x:row r="18" ht="24" customHeight="1">
      <x:c r="A18" s="130"/>
      <x:c r="B18" s="130"/>
      <x:c r="C18" s="130"/>
      <x:c r="D18" s="130"/>
      <x:c r="E18" s="130"/>
      <x:c r="F18" s="130"/>
      <x:c r="G18" s="130"/>
      <x:c r="H18" s="130"/>
      <x:c r="I18" s="130"/>
      <x:c r="J18" s="130"/>
      <x:c r="K18" s="130"/>
      <x:c r="L18" s="130"/>
      <x:c r="M18" s="130"/>
      <x:c r="N18" s="130"/>
      <x:c r="O18" s="130"/>
      <x:c r="P18" s="130"/>
      <x:c r="Q18" s="130"/>
      <x:c r="R18" s="130"/>
      <x:c r="S18" s="130"/>
      <x:c r="T18" s="130"/>
      <x:c r="U18" s="130"/>
      <x:c r="V18" s="130"/>
      <x:c r="W18" s="130"/>
      <x:c r="X18" s="130"/>
      <x:c r="Y18" s="130"/>
      <x:c r="Z18" s="130"/>
      <x:c r="AA18" s="130"/>
      <x:c r="AB18" s="130"/>
      <x:c r="AC18" s="130"/>
      <x:c r="AD18" s="130"/>
      <x:c r="AE18" s="130"/>
      <x:c r="AF18" s="130"/>
      <x:c r="AG18" s="130"/>
      <x:c r="AH18" s="130"/>
      <x:c r="AI18" s="130"/>
      <x:c r="AJ18" s="130"/>
      <x:c r="AK18" s="130"/>
      <x:c r="AL18" s="130"/>
      <x:c r="AM18" s="130"/>
      <x:c r="AN18" s="130"/>
      <x:c r="AO18" s="130"/>
      <x:c r="AP18" s="130"/>
      <x:c r="AQ18" s="130"/>
      <x:c r="AR18" s="130"/>
      <x:c r="AS18" s="130"/>
      <x:c r="AT18" s="130"/>
      <x:c r="AU18" s="130"/>
      <x:c r="AV18" s="130"/>
      <x:c r="AW18" s="130"/>
      <x:c r="AX18" s="130"/>
      <x:c r="AY18" s="130"/>
      <x:c r="AZ18" s="130"/>
    </x:row>
    <x:row r="19" ht="24" customHeight="1">
      <x:c r="A19" s="130"/>
      <x:c r="B19" s="130"/>
      <x:c r="C19" s="130"/>
      <x:c r="D19" s="130"/>
      <x:c r="E19" s="130"/>
      <x:c r="F19" s="130"/>
      <x:c r="G19" s="130"/>
      <x:c r="H19" s="130"/>
      <x:c r="I19" s="130"/>
      <x:c r="J19" s="130"/>
      <x:c r="K19" s="130"/>
      <x:c r="L19" s="130"/>
      <x:c r="M19" s="130"/>
      <x:c r="N19" s="130"/>
      <x:c r="O19" s="130"/>
      <x:c r="P19" s="130"/>
      <x:c r="Q19" s="130"/>
      <x:c r="R19" s="130"/>
      <x:c r="S19" s="130"/>
      <x:c r="T19" s="130"/>
      <x:c r="U19" s="130"/>
      <x:c r="V19" s="130"/>
      <x:c r="W19" s="130"/>
      <x:c r="X19" s="130"/>
      <x:c r="Y19" s="130"/>
      <x:c r="Z19" s="130"/>
      <x:c r="AA19" s="130"/>
      <x:c r="AB19" s="130"/>
      <x:c r="AC19" s="130"/>
      <x:c r="AD19" s="130"/>
      <x:c r="AE19" s="130"/>
      <x:c r="AF19" s="130"/>
      <x:c r="AG19" s="130"/>
      <x:c r="AH19" s="130"/>
      <x:c r="AI19" s="130"/>
      <x:c r="AJ19" s="130"/>
      <x:c r="AK19" s="130"/>
      <x:c r="AL19" s="130"/>
      <x:c r="AM19" s="130"/>
      <x:c r="AN19" s="130"/>
      <x:c r="AO19" s="130"/>
      <x:c r="AP19" s="130"/>
      <x:c r="AQ19" s="130"/>
      <x:c r="AR19" s="130"/>
      <x:c r="AS19" s="130"/>
      <x:c r="AT19" s="130"/>
      <x:c r="AU19" s="130"/>
      <x:c r="AV19" s="130"/>
      <x:c r="AW19" s="130"/>
      <x:c r="AX19" s="130"/>
      <x:c r="AY19" s="130"/>
      <x:c r="AZ19" s="130"/>
    </x:row>
    <x:row r="20" ht="24" customHeight="1">
      <x:c r="A20" s="32" t="str">
        <x:v>Strategy</x:v>
      </x:c>
      <x:c r="B20" s="32" t="str">
        <x:v>Total cost (£)</x:v>
      </x:c>
      <x:c r="C20" s="32" t="str">
        <x:v>Productivity index</x:v>
      </x:c>
      <x:c r="D20" s="130"/>
      <x:c r="E20" s="130"/>
      <x:c r="F20" s="130"/>
      <x:c r="G20" s="130"/>
      <x:c r="H20" s="130"/>
      <x:c r="I20" s="130"/>
      <x:c r="J20" s="130"/>
      <x:c r="K20" s="130"/>
      <x:c r="L20" s="130"/>
      <x:c r="M20" s="130"/>
      <x:c r="N20" s="130"/>
      <x:c r="O20" s="130"/>
      <x:c r="P20" s="130"/>
      <x:c r="Q20" s="130"/>
      <x:c r="R20" s="130"/>
      <x:c r="S20" s="130"/>
      <x:c r="T20" s="130"/>
      <x:c r="U20" s="130"/>
      <x:c r="V20" s="130"/>
      <x:c r="W20" s="130"/>
      <x:c r="X20" s="130"/>
      <x:c r="Y20" s="130"/>
      <x:c r="Z20" s="130"/>
      <x:c r="AA20" s="130"/>
      <x:c r="AB20" s="130"/>
      <x:c r="AC20" s="130"/>
      <x:c r="AD20" s="130"/>
      <x:c r="AE20" s="130"/>
      <x:c r="AF20" s="130"/>
      <x:c r="AG20" s="130"/>
      <x:c r="AH20" s="130"/>
      <x:c r="AI20" s="130"/>
      <x:c r="AJ20" s="130"/>
      <x:c r="AK20" s="130"/>
      <x:c r="AL20" s="130"/>
      <x:c r="AM20" s="130"/>
      <x:c r="AN20" s="130"/>
      <x:c r="AO20" s="130"/>
      <x:c r="AP20" s="130"/>
      <x:c r="AQ20" s="130"/>
      <x:c r="AR20" s="130"/>
      <x:c r="AS20" s="130"/>
      <x:c r="AT20" s="130"/>
      <x:c r="AU20" s="130"/>
      <x:c r="AV20" s="130"/>
      <x:c r="AW20" s="130"/>
      <x:c r="AX20" s="130"/>
      <x:c r="AY20" s="130"/>
      <x:c r="AZ20" s="130"/>
    </x:row>
    <x:row r="21" ht="24" customHeight="1">
      <x:c r="A21" s="130" t="str">
        <x:v>Conventional diesel</x:v>
      </x:c>
      <x:c r="B21" s="164" t="n">
        <x:f>Model!AM5</x:f>
        <x:v>8385.192</x:v>
      </x:c>
      <x:c r="C21" s="130" t="n">
        <x:f>Model!X5</x:f>
        <x:v>100</x:v>
      </x:c>
      <x:c r="D21" s="130"/>
      <x:c r="E21" s="130"/>
      <x:c r="F21" s="130"/>
      <x:c r="G21" s="130"/>
      <x:c r="H21" s="130"/>
      <x:c r="I21" s="130"/>
      <x:c r="J21" s="130"/>
      <x:c r="K21" s="130"/>
      <x:c r="L21" s="130"/>
      <x:c r="M21" s="130"/>
      <x:c r="N21" s="130"/>
      <x:c r="O21" s="130"/>
      <x:c r="P21" s="130"/>
      <x:c r="Q21" s="130"/>
      <x:c r="R21" s="130"/>
      <x:c r="S21" s="130"/>
      <x:c r="T21" s="130"/>
      <x:c r="U21" s="130"/>
      <x:c r="V21" s="130"/>
      <x:c r="W21" s="130"/>
      <x:c r="X21" s="130"/>
      <x:c r="Y21" s="130"/>
      <x:c r="Z21" s="130"/>
      <x:c r="AA21" s="130"/>
      <x:c r="AB21" s="130"/>
      <x:c r="AC21" s="130"/>
      <x:c r="AD21" s="130"/>
      <x:c r="AE21" s="130"/>
      <x:c r="AF21" s="130"/>
      <x:c r="AG21" s="130"/>
      <x:c r="AH21" s="130"/>
      <x:c r="AI21" s="130"/>
      <x:c r="AJ21" s="130"/>
      <x:c r="AK21" s="130"/>
      <x:c r="AL21" s="130"/>
      <x:c r="AM21" s="130"/>
      <x:c r="AN21" s="130"/>
      <x:c r="AO21" s="130"/>
      <x:c r="AP21" s="130"/>
      <x:c r="AQ21" s="130"/>
      <x:c r="AR21" s="130"/>
      <x:c r="AS21" s="130"/>
      <x:c r="AT21" s="130"/>
      <x:c r="AU21" s="130"/>
      <x:c r="AV21" s="130"/>
      <x:c r="AW21" s="130"/>
      <x:c r="AX21" s="130"/>
      <x:c r="AY21" s="130"/>
      <x:c r="AZ21" s="130"/>
    </x:row>
    <x:row r="22" ht="24" customHeight="1">
      <x:c r="A22" s="130" t="str">
        <x:v>Efficient diesel</x:v>
      </x:c>
      <x:c r="B22" s="164" t="n">
        <x:f>Model!AM6</x:f>
        <x:v>8629.662</x:v>
      </x:c>
      <x:c r="C22" s="130" t="n">
        <x:f>Model!X6</x:f>
        <x:v>100</x:v>
      </x:c>
      <x:c r="D22" s="130"/>
      <x:c r="E22" s="130"/>
      <x:c r="F22" s="130"/>
      <x:c r="G22" s="130"/>
      <x:c r="H22" s="130"/>
      <x:c r="I22" s="130"/>
      <x:c r="J22" s="130"/>
      <x:c r="K22" s="130"/>
      <x:c r="L22" s="130"/>
      <x:c r="M22" s="130"/>
      <x:c r="N22" s="130"/>
      <x:c r="O22" s="130"/>
      <x:c r="P22" s="130"/>
      <x:c r="Q22" s="130"/>
      <x:c r="R22" s="130"/>
      <x:c r="S22" s="130"/>
      <x:c r="T22" s="130"/>
      <x:c r="U22" s="130"/>
      <x:c r="V22" s="130"/>
      <x:c r="W22" s="130"/>
      <x:c r="X22" s="130"/>
      <x:c r="Y22" s="130"/>
      <x:c r="Z22" s="130"/>
      <x:c r="AA22" s="130"/>
      <x:c r="AB22" s="130"/>
      <x:c r="AC22" s="130"/>
      <x:c r="AD22" s="130"/>
      <x:c r="AE22" s="130"/>
      <x:c r="AF22" s="130"/>
      <x:c r="AG22" s="130"/>
      <x:c r="AH22" s="130"/>
      <x:c r="AI22" s="130"/>
      <x:c r="AJ22" s="130"/>
      <x:c r="AK22" s="130"/>
      <x:c r="AL22" s="130"/>
      <x:c r="AM22" s="130"/>
      <x:c r="AN22" s="130"/>
      <x:c r="AO22" s="130"/>
      <x:c r="AP22" s="130"/>
      <x:c r="AQ22" s="130"/>
      <x:c r="AR22" s="130"/>
      <x:c r="AS22" s="130"/>
      <x:c r="AT22" s="130"/>
      <x:c r="AU22" s="130"/>
      <x:c r="AV22" s="130"/>
      <x:c r="AW22" s="130"/>
      <x:c r="AX22" s="130"/>
      <x:c r="AY22" s="130"/>
      <x:c r="AZ22" s="130"/>
    </x:row>
    <x:row r="23" ht="24" customHeight="1">
      <x:c r="A23" s="130" t="str">
        <x:v>Grid electric</x:v>
      </x:c>
      <x:c r="B23" s="164" t="n">
        <x:f>Model!AM7</x:f>
        <x:v>9005.769075</x:v>
      </x:c>
      <x:c r="C23" s="130" t="n">
        <x:f>Model!X7</x:f>
        <x:v>97</x:v>
      </x:c>
      <x:c r="D23" s="130"/>
      <x:c r="E23" s="130"/>
      <x:c r="F23" s="130"/>
      <x:c r="G23" s="130"/>
      <x:c r="H23" s="130"/>
      <x:c r="I23" s="130"/>
      <x:c r="J23" s="130"/>
      <x:c r="K23" s="130"/>
      <x:c r="L23" s="130"/>
      <x:c r="M23" s="130"/>
      <x:c r="N23" s="130"/>
      <x:c r="O23" s="130"/>
      <x:c r="P23" s="130"/>
      <x:c r="Q23" s="130"/>
      <x:c r="R23" s="130"/>
      <x:c r="S23" s="130"/>
      <x:c r="T23" s="130"/>
      <x:c r="U23" s="130"/>
      <x:c r="V23" s="130"/>
      <x:c r="W23" s="130"/>
      <x:c r="X23" s="130"/>
      <x:c r="Y23" s="130"/>
      <x:c r="Z23" s="130"/>
      <x:c r="AA23" s="130"/>
      <x:c r="AB23" s="130"/>
      <x:c r="AC23" s="130"/>
      <x:c r="AD23" s="130"/>
      <x:c r="AE23" s="130"/>
      <x:c r="AF23" s="130"/>
      <x:c r="AG23" s="130"/>
      <x:c r="AH23" s="130"/>
      <x:c r="AI23" s="130"/>
      <x:c r="AJ23" s="130"/>
      <x:c r="AK23" s="130"/>
      <x:c r="AL23" s="130"/>
      <x:c r="AM23" s="130"/>
      <x:c r="AN23" s="130"/>
      <x:c r="AO23" s="130"/>
      <x:c r="AP23" s="130"/>
      <x:c r="AQ23" s="130"/>
      <x:c r="AR23" s="130"/>
      <x:c r="AS23" s="130"/>
      <x:c r="AT23" s="130"/>
      <x:c r="AU23" s="130"/>
      <x:c r="AV23" s="130"/>
      <x:c r="AW23" s="130"/>
      <x:c r="AX23" s="130"/>
      <x:c r="AY23" s="130"/>
      <x:c r="AZ23" s="130"/>
    </x:row>
    <x:row r="24" ht="24" customHeight="1">
      <x:c r="A24" s="130" t="str">
        <x:v>Electric + BESS</x:v>
      </x:c>
      <x:c r="B24" s="164" t="n">
        <x:f>Model!AM8</x:f>
        <x:v>10542.461364</x:v>
      </x:c>
      <x:c r="C24" s="130" t="n">
        <x:f>Model!X8</x:f>
        <x:v>99</x:v>
      </x:c>
      <x:c r="D24" s="130"/>
      <x:c r="E24" s="130"/>
      <x:c r="F24" s="130"/>
      <x:c r="G24" s="130"/>
      <x:c r="H24" s="130"/>
      <x:c r="I24" s="130"/>
      <x:c r="J24" s="130"/>
      <x:c r="K24" s="130"/>
      <x:c r="L24" s="130"/>
      <x:c r="M24" s="130"/>
      <x:c r="N24" s="130"/>
      <x:c r="O24" s="130"/>
      <x:c r="P24" s="130"/>
      <x:c r="Q24" s="130"/>
      <x:c r="R24" s="130"/>
      <x:c r="S24" s="130"/>
      <x:c r="T24" s="130"/>
      <x:c r="U24" s="130"/>
      <x:c r="V24" s="130"/>
      <x:c r="W24" s="130"/>
      <x:c r="X24" s="130"/>
      <x:c r="Y24" s="130"/>
      <x:c r="Z24" s="130"/>
      <x:c r="AA24" s="130"/>
      <x:c r="AB24" s="130"/>
      <x:c r="AC24" s="130"/>
      <x:c r="AD24" s="130"/>
      <x:c r="AE24" s="130"/>
      <x:c r="AF24" s="130"/>
      <x:c r="AG24" s="130"/>
      <x:c r="AH24" s="130"/>
      <x:c r="AI24" s="130"/>
      <x:c r="AJ24" s="130"/>
      <x:c r="AK24" s="130"/>
      <x:c r="AL24" s="130"/>
      <x:c r="AM24" s="130"/>
      <x:c r="AN24" s="130"/>
      <x:c r="AO24" s="130"/>
      <x:c r="AP24" s="130"/>
      <x:c r="AQ24" s="130"/>
      <x:c r="AR24" s="130"/>
      <x:c r="AS24" s="130"/>
      <x:c r="AT24" s="130"/>
      <x:c r="AU24" s="130"/>
      <x:c r="AV24" s="130"/>
      <x:c r="AW24" s="130"/>
      <x:c r="AX24" s="130"/>
      <x:c r="AY24" s="130"/>
      <x:c r="AZ24" s="130"/>
    </x:row>
    <x:row r="25" ht="24" customHeight="1">
      <x:c r="A25" s="130"/>
      <x:c r="B25" s="130"/>
      <x:c r="C25" s="130"/>
      <x:c r="D25" s="130"/>
      <x:c r="E25" s="130"/>
      <x:c r="F25" s="130"/>
      <x:c r="G25" s="130"/>
      <x:c r="H25" s="130"/>
      <x:c r="I25" s="130"/>
      <x:c r="J25" s="130"/>
      <x:c r="K25" s="130"/>
      <x:c r="L25" s="130"/>
      <x:c r="M25" s="130"/>
      <x:c r="N25" s="130"/>
      <x:c r="O25" s="130"/>
      <x:c r="P25" s="130"/>
      <x:c r="Q25" s="130"/>
      <x:c r="R25" s="130"/>
      <x:c r="S25" s="130"/>
      <x:c r="T25" s="130"/>
      <x:c r="U25" s="130"/>
      <x:c r="V25" s="130"/>
      <x:c r="W25" s="130"/>
      <x:c r="X25" s="130"/>
      <x:c r="Y25" s="130"/>
      <x:c r="Z25" s="130"/>
      <x:c r="AA25" s="130"/>
      <x:c r="AB25" s="130"/>
      <x:c r="AC25" s="130"/>
      <x:c r="AD25" s="130"/>
      <x:c r="AE25" s="130"/>
      <x:c r="AF25" s="130"/>
      <x:c r="AG25" s="130"/>
      <x:c r="AH25" s="130"/>
      <x:c r="AI25" s="130"/>
      <x:c r="AJ25" s="130"/>
      <x:c r="AK25" s="130"/>
      <x:c r="AL25" s="130"/>
      <x:c r="AM25" s="130"/>
      <x:c r="AN25" s="130"/>
      <x:c r="AO25" s="130"/>
      <x:c r="AP25" s="130"/>
      <x:c r="AQ25" s="130"/>
      <x:c r="AR25" s="130"/>
      <x:c r="AS25" s="130"/>
      <x:c r="AT25" s="130"/>
      <x:c r="AU25" s="130"/>
      <x:c r="AV25" s="130"/>
      <x:c r="AW25" s="130"/>
      <x:c r="AX25" s="130"/>
      <x:c r="AY25" s="130"/>
      <x:c r="AZ25" s="130"/>
    </x:row>
    <x:row r="26" ht="24" customHeight="1">
      <x:c r="A26" s="130"/>
      <x:c r="B26" s="130"/>
      <x:c r="C26" s="130"/>
      <x:c r="D26" s="130"/>
      <x:c r="E26" s="130"/>
      <x:c r="F26" s="130"/>
      <x:c r="G26" s="130"/>
      <x:c r="H26" s="130"/>
      <x:c r="I26" s="130"/>
      <x:c r="J26" s="130"/>
      <x:c r="K26" s="130"/>
      <x:c r="L26" s="130"/>
      <x:c r="M26" s="130"/>
      <x:c r="N26" s="130"/>
      <x:c r="O26" s="130"/>
      <x:c r="P26" s="130"/>
      <x:c r="Q26" s="130"/>
      <x:c r="R26" s="130"/>
      <x:c r="S26" s="130"/>
      <x:c r="T26" s="130"/>
      <x:c r="U26" s="130"/>
      <x:c r="V26" s="130"/>
      <x:c r="W26" s="130"/>
      <x:c r="X26" s="130"/>
      <x:c r="Y26" s="130"/>
      <x:c r="Z26" s="130"/>
      <x:c r="AA26" s="130"/>
      <x:c r="AB26" s="130"/>
      <x:c r="AC26" s="130"/>
      <x:c r="AD26" s="130"/>
      <x:c r="AE26" s="130"/>
      <x:c r="AF26" s="130"/>
      <x:c r="AG26" s="130"/>
      <x:c r="AH26" s="130"/>
      <x:c r="AI26" s="130"/>
      <x:c r="AJ26" s="130"/>
      <x:c r="AK26" s="130"/>
      <x:c r="AL26" s="130"/>
      <x:c r="AM26" s="130"/>
      <x:c r="AN26" s="130"/>
      <x:c r="AO26" s="130"/>
      <x:c r="AP26" s="130"/>
      <x:c r="AQ26" s="130"/>
      <x:c r="AR26" s="130"/>
      <x:c r="AS26" s="130"/>
      <x:c r="AT26" s="130"/>
      <x:c r="AU26" s="130"/>
      <x:c r="AV26" s="130"/>
      <x:c r="AW26" s="130"/>
      <x:c r="AX26" s="130"/>
      <x:c r="AY26" s="130"/>
      <x:c r="AZ26" s="130"/>
    </x:row>
    <x:row r="27" ht="24" customHeight="1">
      <x:c r="A27" s="119" t="str">
        <x:v>Teaching message: the lowest-carbon option is not automatically the best answer. Apprentices must also consider charging, grid access, safety, productivity, cost, programme and the quality of the underlying data.</x:v>
      </x:c>
      <x:c r="B27" s="119"/>
      <x:c r="C27" s="119"/>
      <x:c r="D27" s="119"/>
      <x:c r="E27" s="119"/>
      <x:c r="F27" s="119"/>
      <x:c r="G27" s="130"/>
      <x:c r="H27" s="130"/>
      <x:c r="I27" s="130"/>
      <x:c r="J27" s="130"/>
      <x:c r="K27" s="130"/>
      <x:c r="L27" s="130"/>
      <x:c r="M27" s="130"/>
      <x:c r="N27" s="130"/>
      <x:c r="O27" s="130"/>
      <x:c r="P27" s="130"/>
      <x:c r="Q27" s="130"/>
      <x:c r="R27" s="130"/>
      <x:c r="S27" s="130"/>
      <x:c r="T27" s="130"/>
      <x:c r="U27" s="130"/>
      <x:c r="V27" s="130"/>
      <x:c r="W27" s="130"/>
      <x:c r="X27" s="130"/>
      <x:c r="Y27" s="130"/>
      <x:c r="Z27" s="130"/>
      <x:c r="AA27" s="130"/>
      <x:c r="AB27" s="130"/>
      <x:c r="AC27" s="130"/>
      <x:c r="AD27" s="130"/>
      <x:c r="AE27" s="130"/>
      <x:c r="AF27" s="130"/>
      <x:c r="AG27" s="130"/>
      <x:c r="AH27" s="130"/>
      <x:c r="AI27" s="130"/>
      <x:c r="AJ27" s="130"/>
      <x:c r="AK27" s="130"/>
      <x:c r="AL27" s="130"/>
      <x:c r="AM27" s="130"/>
      <x:c r="AN27" s="130"/>
      <x:c r="AO27" s="130"/>
      <x:c r="AP27" s="130"/>
      <x:c r="AQ27" s="130"/>
      <x:c r="AR27" s="130"/>
      <x:c r="AS27" s="130"/>
      <x:c r="AT27" s="130"/>
      <x:c r="AU27" s="130"/>
      <x:c r="AV27" s="130"/>
      <x:c r="AW27" s="130"/>
      <x:c r="AX27" s="130"/>
      <x:c r="AY27" s="130"/>
      <x:c r="AZ27" s="130"/>
    </x:row>
    <x:row r="28" ht="24" customHeight="1">
      <x:c r="A28" s="119"/>
      <x:c r="B28" s="119"/>
      <x:c r="C28" s="119"/>
      <x:c r="D28" s="119"/>
      <x:c r="E28" s="119"/>
      <x:c r="F28" s="119"/>
      <x:c r="G28" s="130"/>
      <x:c r="H28" s="130"/>
      <x:c r="I28" s="130"/>
      <x:c r="J28" s="130"/>
      <x:c r="K28" s="130"/>
      <x:c r="L28" s="130"/>
      <x:c r="M28" s="130"/>
      <x:c r="N28" s="130"/>
      <x:c r="O28" s="130"/>
      <x:c r="P28" s="130"/>
      <x:c r="Q28" s="130"/>
      <x:c r="R28" s="130"/>
      <x:c r="S28" s="130"/>
      <x:c r="T28" s="130"/>
      <x:c r="U28" s="130"/>
      <x:c r="V28" s="130"/>
      <x:c r="W28" s="130"/>
      <x:c r="X28" s="130"/>
      <x:c r="Y28" s="130"/>
      <x:c r="Z28" s="130"/>
      <x:c r="AA28" s="130"/>
      <x:c r="AB28" s="130"/>
      <x:c r="AC28" s="130"/>
      <x:c r="AD28" s="130"/>
      <x:c r="AE28" s="130"/>
      <x:c r="AF28" s="130"/>
      <x:c r="AG28" s="130"/>
      <x:c r="AH28" s="130"/>
      <x:c r="AI28" s="130"/>
      <x:c r="AJ28" s="130"/>
      <x:c r="AK28" s="130"/>
      <x:c r="AL28" s="130"/>
      <x:c r="AM28" s="130"/>
      <x:c r="AN28" s="130"/>
      <x:c r="AO28" s="130"/>
      <x:c r="AP28" s="130"/>
      <x:c r="AQ28" s="130"/>
      <x:c r="AR28" s="130"/>
      <x:c r="AS28" s="130"/>
      <x:c r="AT28" s="130"/>
      <x:c r="AU28" s="130"/>
      <x:c r="AV28" s="130"/>
      <x:c r="AW28" s="130"/>
      <x:c r="AX28" s="130"/>
      <x:c r="AY28" s="130"/>
      <x:c r="AZ28" s="130"/>
    </x:row>
    <x:row r="29" ht="24" customHeight="1">
      <x:c r="A29" s="119"/>
      <x:c r="B29" s="119"/>
      <x:c r="C29" s="119"/>
      <x:c r="D29" s="119"/>
      <x:c r="E29" s="119"/>
      <x:c r="F29" s="119"/>
      <x:c r="G29" s="130"/>
      <x:c r="H29" s="130"/>
      <x:c r="I29" s="130"/>
      <x:c r="J29" s="130"/>
      <x:c r="K29" s="130"/>
      <x:c r="L29" s="130"/>
      <x:c r="M29" s="130"/>
      <x:c r="N29" s="130"/>
      <x:c r="O29" s="130"/>
      <x:c r="P29" s="130"/>
      <x:c r="Q29" s="130"/>
      <x:c r="R29" s="130"/>
      <x:c r="S29" s="130"/>
      <x:c r="T29" s="130"/>
      <x:c r="U29" s="130"/>
      <x:c r="V29" s="130"/>
      <x:c r="W29" s="130"/>
      <x:c r="X29" s="130"/>
      <x:c r="Y29" s="130"/>
      <x:c r="Z29" s="130"/>
      <x:c r="AA29" s="130"/>
      <x:c r="AB29" s="130"/>
      <x:c r="AC29" s="130"/>
      <x:c r="AD29" s="130"/>
      <x:c r="AE29" s="130"/>
      <x:c r="AF29" s="130"/>
      <x:c r="AG29" s="130"/>
      <x:c r="AH29" s="130"/>
      <x:c r="AI29" s="130"/>
      <x:c r="AJ29" s="130"/>
      <x:c r="AK29" s="130"/>
      <x:c r="AL29" s="130"/>
      <x:c r="AM29" s="130"/>
      <x:c r="AN29" s="130"/>
      <x:c r="AO29" s="130"/>
      <x:c r="AP29" s="130"/>
      <x:c r="AQ29" s="130"/>
      <x:c r="AR29" s="130"/>
      <x:c r="AS29" s="130"/>
      <x:c r="AT29" s="130"/>
      <x:c r="AU29" s="130"/>
      <x:c r="AV29" s="130"/>
      <x:c r="AW29" s="130"/>
      <x:c r="AX29" s="130"/>
      <x:c r="AY29" s="130"/>
      <x:c r="AZ29" s="130"/>
    </x:row>
    <x:row r="30" ht="24" customHeight="1">
      <x:c r="A30" s="119"/>
      <x:c r="B30" s="119"/>
      <x:c r="C30" s="119"/>
      <x:c r="D30" s="119"/>
      <x:c r="E30" s="119"/>
      <x:c r="F30" s="119"/>
      <x:c r="G30" s="130"/>
      <x:c r="H30" s="130"/>
      <x:c r="I30" s="130"/>
      <x:c r="J30" s="130"/>
      <x:c r="K30" s="130"/>
      <x:c r="L30" s="130"/>
      <x:c r="M30" s="130"/>
      <x:c r="N30" s="130"/>
      <x:c r="O30" s="130"/>
      <x:c r="P30" s="130"/>
      <x:c r="Q30" s="130"/>
      <x:c r="R30" s="130"/>
      <x:c r="S30" s="130"/>
      <x:c r="T30" s="130"/>
      <x:c r="U30" s="130"/>
      <x:c r="V30" s="130"/>
      <x:c r="W30" s="130"/>
      <x:c r="X30" s="130"/>
      <x:c r="Y30" s="130"/>
      <x:c r="Z30" s="130"/>
      <x:c r="AA30" s="130"/>
      <x:c r="AB30" s="130"/>
      <x:c r="AC30" s="130"/>
      <x:c r="AD30" s="130"/>
      <x:c r="AE30" s="130"/>
      <x:c r="AF30" s="130"/>
      <x:c r="AG30" s="130"/>
      <x:c r="AH30" s="130"/>
      <x:c r="AI30" s="130"/>
      <x:c r="AJ30" s="130"/>
      <x:c r="AK30" s="130"/>
      <x:c r="AL30" s="130"/>
      <x:c r="AM30" s="130"/>
      <x:c r="AN30" s="130"/>
      <x:c r="AO30" s="130"/>
      <x:c r="AP30" s="130"/>
      <x:c r="AQ30" s="130"/>
      <x:c r="AR30" s="130"/>
      <x:c r="AS30" s="130"/>
      <x:c r="AT30" s="130"/>
      <x:c r="AU30" s="130"/>
      <x:c r="AV30" s="130"/>
      <x:c r="AW30" s="130"/>
      <x:c r="AX30" s="130"/>
      <x:c r="AY30" s="130"/>
      <x:c r="AZ30" s="130"/>
    </x:row>
    <x:row r="31" ht="24" customHeight="1">
      <x:c r="A31" s="119"/>
      <x:c r="B31" s="119"/>
      <x:c r="C31" s="119"/>
      <x:c r="D31" s="119"/>
      <x:c r="E31" s="119"/>
      <x:c r="F31" s="119"/>
      <x:c r="G31" s="130"/>
      <x:c r="H31" s="130"/>
      <x:c r="I31" s="130"/>
      <x:c r="J31" s="130"/>
      <x:c r="K31" s="130"/>
      <x:c r="L31" s="130"/>
      <x:c r="M31" s="130"/>
      <x:c r="N31" s="130"/>
      <x:c r="O31" s="130"/>
      <x:c r="P31" s="130"/>
      <x:c r="Q31" s="130"/>
      <x:c r="R31" s="130"/>
      <x:c r="S31" s="130"/>
      <x:c r="T31" s="130"/>
      <x:c r="U31" s="130"/>
      <x:c r="V31" s="130"/>
      <x:c r="W31" s="130"/>
      <x:c r="X31" s="130"/>
      <x:c r="Y31" s="130"/>
      <x:c r="Z31" s="130"/>
      <x:c r="AA31" s="130"/>
      <x:c r="AB31" s="130"/>
      <x:c r="AC31" s="130"/>
      <x:c r="AD31" s="130"/>
      <x:c r="AE31" s="130"/>
      <x:c r="AF31" s="130"/>
      <x:c r="AG31" s="130"/>
      <x:c r="AH31" s="130"/>
      <x:c r="AI31" s="130"/>
      <x:c r="AJ31" s="130"/>
      <x:c r="AK31" s="130"/>
      <x:c r="AL31" s="130"/>
      <x:c r="AM31" s="130"/>
      <x:c r="AN31" s="130"/>
      <x:c r="AO31" s="130"/>
      <x:c r="AP31" s="130"/>
      <x:c r="AQ31" s="130"/>
      <x:c r="AR31" s="130"/>
      <x:c r="AS31" s="130"/>
      <x:c r="AT31" s="130"/>
      <x:c r="AU31" s="130"/>
      <x:c r="AV31" s="130"/>
      <x:c r="AW31" s="130"/>
      <x:c r="AX31" s="130"/>
      <x:c r="AY31" s="130"/>
      <x:c r="AZ31" s="130"/>
    </x:row>
    <x:row r="32" ht="24" customHeight="1">
      <x:c r="A32" s="119"/>
      <x:c r="B32" s="119"/>
      <x:c r="C32" s="119"/>
      <x:c r="D32" s="119"/>
      <x:c r="E32" s="119"/>
      <x:c r="F32" s="119"/>
      <x:c r="G32" s="130"/>
      <x:c r="H32" s="130"/>
      <x:c r="I32" s="130"/>
      <x:c r="J32" s="130"/>
      <x:c r="K32" s="130"/>
      <x:c r="L32" s="130"/>
      <x:c r="M32" s="130"/>
      <x:c r="N32" s="130"/>
      <x:c r="O32" s="130"/>
      <x:c r="P32" s="130"/>
      <x:c r="Q32" s="130"/>
      <x:c r="R32" s="130"/>
      <x:c r="S32" s="130"/>
      <x:c r="T32" s="130"/>
      <x:c r="U32" s="130"/>
      <x:c r="V32" s="130"/>
      <x:c r="W32" s="130"/>
      <x:c r="X32" s="130"/>
      <x:c r="Y32" s="130"/>
      <x:c r="Z32" s="130"/>
      <x:c r="AA32" s="130"/>
      <x:c r="AB32" s="130"/>
      <x:c r="AC32" s="130"/>
      <x:c r="AD32" s="130"/>
      <x:c r="AE32" s="130"/>
      <x:c r="AF32" s="130"/>
      <x:c r="AG32" s="130"/>
      <x:c r="AH32" s="130"/>
      <x:c r="AI32" s="130"/>
      <x:c r="AJ32" s="130"/>
      <x:c r="AK32" s="130"/>
      <x:c r="AL32" s="130"/>
      <x:c r="AM32" s="130"/>
      <x:c r="AN32" s="130"/>
      <x:c r="AO32" s="130"/>
      <x:c r="AP32" s="130"/>
      <x:c r="AQ32" s="130"/>
      <x:c r="AR32" s="130"/>
      <x:c r="AS32" s="130"/>
      <x:c r="AT32" s="130"/>
      <x:c r="AU32" s="130"/>
      <x:c r="AV32" s="130"/>
      <x:c r="AW32" s="130"/>
      <x:c r="AX32" s="130"/>
      <x:c r="AY32" s="130"/>
      <x:c r="AZ32" s="130"/>
    </x:row>
    <x:row r="33" ht="24" customHeight="1">
      <x:c r="A33" s="130"/>
      <x:c r="B33" s="130"/>
      <x:c r="C33" s="130"/>
      <x:c r="D33" s="130"/>
      <x:c r="E33" s="130"/>
      <x:c r="F33" s="130"/>
      <x:c r="G33" s="130"/>
      <x:c r="H33" s="130"/>
      <x:c r="I33" s="130"/>
      <x:c r="J33" s="130"/>
      <x:c r="K33" s="130"/>
      <x:c r="L33" s="130"/>
      <x:c r="M33" s="130"/>
      <x:c r="N33" s="130"/>
      <x:c r="O33" s="130"/>
      <x:c r="P33" s="130"/>
      <x:c r="Q33" s="130"/>
      <x:c r="R33" s="130"/>
      <x:c r="S33" s="130"/>
      <x:c r="T33" s="130"/>
      <x:c r="U33" s="130"/>
      <x:c r="V33" s="130"/>
      <x:c r="W33" s="130"/>
      <x:c r="X33" s="130"/>
      <x:c r="Y33" s="130"/>
      <x:c r="Z33" s="130"/>
      <x:c r="AA33" s="130"/>
      <x:c r="AB33" s="130"/>
      <x:c r="AC33" s="130"/>
      <x:c r="AD33" s="130"/>
      <x:c r="AE33" s="130"/>
      <x:c r="AF33" s="130"/>
      <x:c r="AG33" s="130"/>
      <x:c r="AH33" s="130"/>
      <x:c r="AI33" s="130"/>
      <x:c r="AJ33" s="130"/>
      <x:c r="AK33" s="130"/>
      <x:c r="AL33" s="130"/>
      <x:c r="AM33" s="130"/>
      <x:c r="AN33" s="130"/>
      <x:c r="AO33" s="130"/>
      <x:c r="AP33" s="130"/>
      <x:c r="AQ33" s="130"/>
      <x:c r="AR33" s="130"/>
      <x:c r="AS33" s="130"/>
      <x:c r="AT33" s="130"/>
      <x:c r="AU33" s="130"/>
      <x:c r="AV33" s="130"/>
      <x:c r="AW33" s="130"/>
      <x:c r="AX33" s="130"/>
      <x:c r="AY33" s="130"/>
      <x:c r="AZ33" s="130"/>
    </x:row>
    <x:row r="34" ht="24" customHeight="1">
      <x:c r="A34" s="130"/>
      <x:c r="B34" s="130"/>
      <x:c r="C34" s="130"/>
      <x:c r="D34" s="130"/>
      <x:c r="E34" s="130"/>
      <x:c r="F34" s="130"/>
      <x:c r="G34" s="130"/>
      <x:c r="H34" s="130"/>
      <x:c r="I34" s="130"/>
      <x:c r="J34" s="130"/>
      <x:c r="K34" s="130"/>
      <x:c r="L34" s="130"/>
      <x:c r="M34" s="130"/>
      <x:c r="N34" s="130"/>
      <x:c r="O34" s="130"/>
      <x:c r="P34" s="130"/>
      <x:c r="Q34" s="130"/>
      <x:c r="R34" s="130"/>
      <x:c r="S34" s="130"/>
      <x:c r="T34" s="130"/>
      <x:c r="U34" s="130"/>
      <x:c r="V34" s="130"/>
      <x:c r="W34" s="130"/>
      <x:c r="X34" s="130"/>
      <x:c r="Y34" s="130"/>
      <x:c r="Z34" s="130"/>
      <x:c r="AA34" s="130"/>
      <x:c r="AB34" s="130"/>
      <x:c r="AC34" s="130"/>
      <x:c r="AD34" s="130"/>
      <x:c r="AE34" s="130"/>
      <x:c r="AF34" s="130"/>
      <x:c r="AG34" s="130"/>
      <x:c r="AH34" s="130"/>
      <x:c r="AI34" s="130"/>
      <x:c r="AJ34" s="130"/>
      <x:c r="AK34" s="130"/>
      <x:c r="AL34" s="130"/>
      <x:c r="AM34" s="130"/>
      <x:c r="AN34" s="130"/>
      <x:c r="AO34" s="130"/>
      <x:c r="AP34" s="130"/>
      <x:c r="AQ34" s="130"/>
      <x:c r="AR34" s="130"/>
      <x:c r="AS34" s="130"/>
      <x:c r="AT34" s="130"/>
      <x:c r="AU34" s="130"/>
      <x:c r="AV34" s="130"/>
      <x:c r="AW34" s="130"/>
      <x:c r="AX34" s="130"/>
      <x:c r="AY34" s="130"/>
      <x:c r="AZ34" s="130"/>
    </x:row>
    <x:row r="35" ht="24" customHeight="1">
      <x:c r="A35" s="130"/>
      <x:c r="B35" s="130"/>
      <x:c r="C35" s="130"/>
      <x:c r="D35" s="130"/>
      <x:c r="E35" s="130"/>
      <x:c r="F35" s="130"/>
      <x:c r="G35" s="130"/>
      <x:c r="H35" s="130"/>
      <x:c r="I35" s="130"/>
      <x:c r="J35" s="130"/>
      <x:c r="K35" s="130"/>
      <x:c r="L35" s="130"/>
      <x:c r="M35" s="130"/>
      <x:c r="N35" s="130"/>
      <x:c r="O35" s="130"/>
      <x:c r="P35" s="130"/>
      <x:c r="Q35" s="130"/>
      <x:c r="R35" s="130"/>
      <x:c r="S35" s="130"/>
      <x:c r="T35" s="130"/>
      <x:c r="U35" s="130"/>
      <x:c r="V35" s="130"/>
      <x:c r="W35" s="130"/>
      <x:c r="X35" s="130"/>
      <x:c r="Y35" s="130"/>
      <x:c r="Z35" s="130"/>
      <x:c r="AA35" s="130"/>
      <x:c r="AB35" s="130"/>
      <x:c r="AC35" s="130"/>
      <x:c r="AD35" s="130"/>
      <x:c r="AE35" s="130"/>
      <x:c r="AF35" s="130"/>
      <x:c r="AG35" s="130"/>
      <x:c r="AH35" s="130"/>
      <x:c r="AI35" s="130"/>
      <x:c r="AJ35" s="130"/>
      <x:c r="AK35" s="130"/>
      <x:c r="AL35" s="130"/>
      <x:c r="AM35" s="130"/>
      <x:c r="AN35" s="130"/>
      <x:c r="AO35" s="130"/>
      <x:c r="AP35" s="130"/>
      <x:c r="AQ35" s="130"/>
      <x:c r="AR35" s="130"/>
      <x:c r="AS35" s="130"/>
      <x:c r="AT35" s="130"/>
      <x:c r="AU35" s="130"/>
      <x:c r="AV35" s="130"/>
      <x:c r="AW35" s="130"/>
      <x:c r="AX35" s="130"/>
      <x:c r="AY35" s="130"/>
      <x:c r="AZ35" s="130"/>
    </x:row>
    <x:row r="36" ht="24" customHeight="1">
      <x:c r="A36" s="130"/>
      <x:c r="B36" s="130"/>
      <x:c r="C36" s="130"/>
      <x:c r="D36" s="130"/>
      <x:c r="E36" s="130"/>
      <x:c r="F36" s="130"/>
      <x:c r="G36" s="130"/>
      <x:c r="H36" s="130"/>
      <x:c r="I36" s="130"/>
      <x:c r="J36" s="130"/>
      <x:c r="K36" s="130"/>
      <x:c r="L36" s="130"/>
      <x:c r="M36" s="130"/>
      <x:c r="N36" s="130"/>
      <x:c r="O36" s="130"/>
      <x:c r="P36" s="130"/>
      <x:c r="Q36" s="130"/>
      <x:c r="R36" s="130"/>
      <x:c r="S36" s="130"/>
      <x:c r="T36" s="130"/>
      <x:c r="U36" s="130"/>
      <x:c r="V36" s="130"/>
      <x:c r="W36" s="130"/>
      <x:c r="X36" s="130"/>
      <x:c r="Y36" s="130"/>
      <x:c r="Z36" s="130"/>
      <x:c r="AA36" s="130"/>
      <x:c r="AB36" s="130"/>
      <x:c r="AC36" s="130"/>
      <x:c r="AD36" s="130"/>
      <x:c r="AE36" s="130"/>
      <x:c r="AF36" s="130"/>
      <x:c r="AG36" s="130"/>
      <x:c r="AH36" s="130"/>
      <x:c r="AI36" s="130"/>
      <x:c r="AJ36" s="130"/>
      <x:c r="AK36" s="130"/>
      <x:c r="AL36" s="130"/>
      <x:c r="AM36" s="130"/>
      <x:c r="AN36" s="130"/>
      <x:c r="AO36" s="130"/>
      <x:c r="AP36" s="130"/>
      <x:c r="AQ36" s="130"/>
      <x:c r="AR36" s="130"/>
      <x:c r="AS36" s="130"/>
      <x:c r="AT36" s="130"/>
      <x:c r="AU36" s="130"/>
      <x:c r="AV36" s="130"/>
      <x:c r="AW36" s="130"/>
      <x:c r="AX36" s="130"/>
      <x:c r="AY36" s="130"/>
      <x:c r="AZ36" s="130"/>
    </x:row>
    <x:row r="37" ht="24" customHeight="1">
      <x:c r="A37" s="130"/>
      <x:c r="B37" s="130"/>
      <x:c r="C37" s="130"/>
      <x:c r="D37" s="130"/>
      <x:c r="E37" s="130"/>
      <x:c r="F37" s="130"/>
      <x:c r="G37" s="130"/>
      <x:c r="H37" s="130"/>
      <x:c r="I37" s="130"/>
      <x:c r="J37" s="130"/>
      <x:c r="K37" s="130"/>
      <x:c r="L37" s="130"/>
      <x:c r="M37" s="130"/>
      <x:c r="N37" s="130"/>
      <x:c r="O37" s="130"/>
      <x:c r="P37" s="130"/>
      <x:c r="Q37" s="130"/>
      <x:c r="R37" s="130"/>
      <x:c r="S37" s="130"/>
      <x:c r="T37" s="130"/>
      <x:c r="U37" s="130"/>
      <x:c r="V37" s="130"/>
      <x:c r="W37" s="130"/>
      <x:c r="X37" s="130"/>
      <x:c r="Y37" s="130"/>
      <x:c r="Z37" s="130"/>
      <x:c r="AA37" s="130"/>
      <x:c r="AB37" s="130"/>
      <x:c r="AC37" s="130"/>
      <x:c r="AD37" s="130"/>
      <x:c r="AE37" s="130"/>
      <x:c r="AF37" s="130"/>
      <x:c r="AG37" s="130"/>
      <x:c r="AH37" s="130"/>
      <x:c r="AI37" s="130"/>
      <x:c r="AJ37" s="130"/>
      <x:c r="AK37" s="130"/>
      <x:c r="AL37" s="130"/>
      <x:c r="AM37" s="130"/>
      <x:c r="AN37" s="130"/>
      <x:c r="AO37" s="130"/>
      <x:c r="AP37" s="130"/>
      <x:c r="AQ37" s="130"/>
      <x:c r="AR37" s="130"/>
      <x:c r="AS37" s="130"/>
      <x:c r="AT37" s="130"/>
      <x:c r="AU37" s="130"/>
      <x:c r="AV37" s="130"/>
      <x:c r="AW37" s="130"/>
      <x:c r="AX37" s="130"/>
      <x:c r="AY37" s="130"/>
      <x:c r="AZ37" s="130"/>
    </x:row>
    <x:row r="38" ht="24" customHeight="1">
      <x:c r="A38" s="130"/>
      <x:c r="B38" s="130"/>
      <x:c r="C38" s="130"/>
      <x:c r="D38" s="130"/>
      <x:c r="E38" s="130"/>
      <x:c r="F38" s="130"/>
      <x:c r="G38" s="130"/>
      <x:c r="H38" s="130"/>
      <x:c r="I38" s="130"/>
      <x:c r="J38" s="130"/>
      <x:c r="K38" s="130"/>
      <x:c r="L38" s="130"/>
      <x:c r="M38" s="130"/>
      <x:c r="N38" s="130"/>
      <x:c r="O38" s="130"/>
      <x:c r="P38" s="130"/>
      <x:c r="Q38" s="130"/>
      <x:c r="R38" s="130"/>
      <x:c r="S38" s="130"/>
      <x:c r="T38" s="130"/>
      <x:c r="U38" s="130"/>
      <x:c r="V38" s="130"/>
      <x:c r="W38" s="130"/>
      <x:c r="X38" s="130"/>
      <x:c r="Y38" s="130"/>
      <x:c r="Z38" s="130"/>
      <x:c r="AA38" s="130"/>
      <x:c r="AB38" s="130"/>
      <x:c r="AC38" s="130"/>
      <x:c r="AD38" s="130"/>
      <x:c r="AE38" s="130"/>
      <x:c r="AF38" s="130"/>
      <x:c r="AG38" s="130"/>
      <x:c r="AH38" s="130"/>
      <x:c r="AI38" s="130"/>
      <x:c r="AJ38" s="130"/>
      <x:c r="AK38" s="130"/>
      <x:c r="AL38" s="130"/>
      <x:c r="AM38" s="130"/>
      <x:c r="AN38" s="130"/>
      <x:c r="AO38" s="130"/>
      <x:c r="AP38" s="130"/>
      <x:c r="AQ38" s="130"/>
      <x:c r="AR38" s="130"/>
      <x:c r="AS38" s="130"/>
      <x:c r="AT38" s="130"/>
      <x:c r="AU38" s="130"/>
      <x:c r="AV38" s="130"/>
      <x:c r="AW38" s="130"/>
      <x:c r="AX38" s="130"/>
      <x:c r="AY38" s="130"/>
      <x:c r="AZ38" s="130"/>
    </x:row>
    <x:row r="39" ht="24" customHeight="1">
      <x:c r="A39" s="130"/>
      <x:c r="B39" s="130"/>
      <x:c r="C39" s="130"/>
      <x:c r="D39" s="130"/>
      <x:c r="E39" s="130"/>
      <x:c r="F39" s="130"/>
      <x:c r="G39" s="130"/>
      <x:c r="H39" s="130"/>
      <x:c r="I39" s="130"/>
      <x:c r="J39" s="130"/>
      <x:c r="K39" s="130"/>
      <x:c r="L39" s="130"/>
      <x:c r="M39" s="130"/>
      <x:c r="N39" s="130"/>
      <x:c r="O39" s="130"/>
      <x:c r="P39" s="130"/>
      <x:c r="Q39" s="130"/>
      <x:c r="R39" s="130"/>
      <x:c r="S39" s="130"/>
      <x:c r="T39" s="130"/>
      <x:c r="U39" s="130"/>
      <x:c r="V39" s="130"/>
      <x:c r="W39" s="130"/>
      <x:c r="X39" s="130"/>
      <x:c r="Y39" s="130"/>
      <x:c r="Z39" s="130"/>
      <x:c r="AA39" s="130"/>
      <x:c r="AB39" s="130"/>
      <x:c r="AC39" s="130"/>
      <x:c r="AD39" s="130"/>
      <x:c r="AE39" s="130"/>
      <x:c r="AF39" s="130"/>
      <x:c r="AG39" s="130"/>
      <x:c r="AH39" s="130"/>
      <x:c r="AI39" s="130"/>
      <x:c r="AJ39" s="130"/>
      <x:c r="AK39" s="130"/>
      <x:c r="AL39" s="130"/>
      <x:c r="AM39" s="130"/>
      <x:c r="AN39" s="130"/>
      <x:c r="AO39" s="130"/>
      <x:c r="AP39" s="130"/>
      <x:c r="AQ39" s="130"/>
      <x:c r="AR39" s="130"/>
      <x:c r="AS39" s="130"/>
      <x:c r="AT39" s="130"/>
      <x:c r="AU39" s="130"/>
      <x:c r="AV39" s="130"/>
      <x:c r="AW39" s="130"/>
      <x:c r="AX39" s="130"/>
      <x:c r="AY39" s="130"/>
      <x:c r="AZ39" s="130"/>
    </x:row>
    <x:row r="40" ht="24" customHeight="1">
      <x:c r="A40" s="130"/>
      <x:c r="B40" s="130"/>
      <x:c r="C40" s="130"/>
      <x:c r="D40" s="130"/>
      <x:c r="E40" s="130"/>
      <x:c r="F40" s="130"/>
      <x:c r="G40" s="130"/>
      <x:c r="H40" s="130"/>
      <x:c r="I40" s="130"/>
      <x:c r="J40" s="130"/>
      <x:c r="K40" s="130"/>
      <x:c r="L40" s="130"/>
      <x:c r="M40" s="130"/>
      <x:c r="N40" s="130"/>
      <x:c r="O40" s="130"/>
      <x:c r="P40" s="130"/>
      <x:c r="Q40" s="130"/>
      <x:c r="R40" s="130"/>
      <x:c r="S40" s="130"/>
      <x:c r="T40" s="130"/>
      <x:c r="U40" s="130"/>
      <x:c r="V40" s="130"/>
      <x:c r="W40" s="130"/>
      <x:c r="X40" s="130"/>
      <x:c r="Y40" s="130"/>
      <x:c r="Z40" s="130"/>
      <x:c r="AA40" s="130"/>
      <x:c r="AB40" s="130"/>
      <x:c r="AC40" s="130"/>
      <x:c r="AD40" s="130"/>
      <x:c r="AE40" s="130"/>
      <x:c r="AF40" s="130"/>
      <x:c r="AG40" s="130"/>
      <x:c r="AH40" s="130"/>
      <x:c r="AI40" s="130"/>
      <x:c r="AJ40" s="130"/>
      <x:c r="AK40" s="130"/>
      <x:c r="AL40" s="130"/>
      <x:c r="AM40" s="130"/>
      <x:c r="AN40" s="130"/>
      <x:c r="AO40" s="130"/>
      <x:c r="AP40" s="130"/>
      <x:c r="AQ40" s="130"/>
      <x:c r="AR40" s="130"/>
      <x:c r="AS40" s="130"/>
      <x:c r="AT40" s="130"/>
      <x:c r="AU40" s="130"/>
      <x:c r="AV40" s="130"/>
      <x:c r="AW40" s="130"/>
      <x:c r="AX40" s="130"/>
      <x:c r="AY40" s="130"/>
      <x:c r="AZ40" s="130"/>
    </x:row>
    <x:row r="41">
      <x:c r="A41" s="130"/>
      <x:c r="B41" s="130"/>
      <x:c r="C41" s="130"/>
      <x:c r="D41" s="130"/>
      <x:c r="E41" s="130"/>
      <x:c r="F41" s="130"/>
      <x:c r="G41" s="130"/>
      <x:c r="H41" s="130"/>
      <x:c r="I41" s="130"/>
      <x:c r="J41" s="130"/>
      <x:c r="K41" s="130"/>
      <x:c r="L41" s="130"/>
      <x:c r="M41" s="130"/>
      <x:c r="N41" s="130"/>
      <x:c r="O41" s="130"/>
      <x:c r="P41" s="130"/>
      <x:c r="Q41" s="130"/>
      <x:c r="R41" s="130"/>
      <x:c r="S41" s="130"/>
      <x:c r="T41" s="130"/>
      <x:c r="U41" s="130"/>
      <x:c r="V41" s="130"/>
      <x:c r="W41" s="130"/>
      <x:c r="X41" s="130"/>
      <x:c r="Y41" s="130"/>
      <x:c r="Z41" s="130"/>
      <x:c r="AA41" s="130"/>
      <x:c r="AB41" s="130"/>
      <x:c r="AC41" s="130"/>
      <x:c r="AD41" s="130"/>
      <x:c r="AE41" s="130"/>
      <x:c r="AF41" s="130"/>
      <x:c r="AG41" s="130"/>
      <x:c r="AH41" s="130"/>
      <x:c r="AI41" s="130"/>
      <x:c r="AJ41" s="130"/>
      <x:c r="AK41" s="130"/>
      <x:c r="AL41" s="130"/>
      <x:c r="AM41" s="130"/>
      <x:c r="AN41" s="130"/>
      <x:c r="AO41" s="130"/>
      <x:c r="AP41" s="130"/>
      <x:c r="AQ41" s="130"/>
      <x:c r="AR41" s="130"/>
      <x:c r="AS41" s="130"/>
      <x:c r="AT41" s="130"/>
      <x:c r="AU41" s="130"/>
      <x:c r="AV41" s="130"/>
      <x:c r="AW41" s="130"/>
      <x:c r="AX41" s="130"/>
      <x:c r="AY41" s="130"/>
      <x:c r="AZ41" s="130"/>
    </x:row>
    <x:row r="42">
      <x:c r="A42" s="130"/>
      <x:c r="B42" s="130"/>
      <x:c r="C42" s="130"/>
      <x:c r="D42" s="130"/>
      <x:c r="E42" s="130"/>
      <x:c r="F42" s="130"/>
      <x:c r="G42" s="130"/>
      <x:c r="H42" s="130"/>
      <x:c r="I42" s="130"/>
      <x:c r="J42" s="130"/>
      <x:c r="K42" s="130"/>
      <x:c r="L42" s="130"/>
      <x:c r="M42" s="130"/>
      <x:c r="N42" s="130"/>
      <x:c r="O42" s="130"/>
      <x:c r="P42" s="130"/>
      <x:c r="Q42" s="130"/>
      <x:c r="R42" s="130"/>
      <x:c r="S42" s="130"/>
      <x:c r="T42" s="130"/>
      <x:c r="U42" s="130"/>
      <x:c r="V42" s="130"/>
      <x:c r="W42" s="130"/>
      <x:c r="X42" s="130"/>
      <x:c r="Y42" s="130"/>
      <x:c r="Z42" s="130"/>
      <x:c r="AA42" s="130"/>
      <x:c r="AB42" s="130"/>
      <x:c r="AC42" s="130"/>
      <x:c r="AD42" s="130"/>
      <x:c r="AE42" s="130"/>
      <x:c r="AF42" s="130"/>
      <x:c r="AG42" s="130"/>
      <x:c r="AH42" s="130"/>
      <x:c r="AI42" s="130"/>
      <x:c r="AJ42" s="130"/>
      <x:c r="AK42" s="130"/>
      <x:c r="AL42" s="130"/>
      <x:c r="AM42" s="130"/>
      <x:c r="AN42" s="130"/>
      <x:c r="AO42" s="130"/>
      <x:c r="AP42" s="130"/>
      <x:c r="AQ42" s="130"/>
      <x:c r="AR42" s="130"/>
      <x:c r="AS42" s="130"/>
      <x:c r="AT42" s="130"/>
      <x:c r="AU42" s="130"/>
      <x:c r="AV42" s="130"/>
      <x:c r="AW42" s="130"/>
      <x:c r="AX42" s="130"/>
      <x:c r="AY42" s="130"/>
      <x:c r="AZ42" s="130"/>
    </x:row>
    <x:row r="43">
      <x:c r="A43" s="130"/>
      <x:c r="B43" s="130"/>
      <x:c r="C43" s="130"/>
      <x:c r="D43" s="130"/>
      <x:c r="E43" s="130"/>
      <x:c r="F43" s="130"/>
      <x:c r="G43" s="130"/>
      <x:c r="H43" s="130"/>
      <x:c r="I43" s="130"/>
      <x:c r="J43" s="130"/>
      <x:c r="K43" s="130"/>
      <x:c r="L43" s="130"/>
      <x:c r="M43" s="130"/>
      <x:c r="N43" s="130"/>
      <x:c r="O43" s="130"/>
      <x:c r="P43" s="130"/>
      <x:c r="Q43" s="130"/>
      <x:c r="R43" s="130"/>
      <x:c r="S43" s="130"/>
      <x:c r="T43" s="130"/>
      <x:c r="U43" s="130"/>
      <x:c r="V43" s="130"/>
      <x:c r="W43" s="130"/>
      <x:c r="X43" s="130"/>
      <x:c r="Y43" s="130"/>
      <x:c r="Z43" s="130"/>
      <x:c r="AA43" s="130"/>
      <x:c r="AB43" s="130"/>
      <x:c r="AC43" s="130"/>
      <x:c r="AD43" s="130"/>
      <x:c r="AE43" s="130"/>
      <x:c r="AF43" s="130"/>
      <x:c r="AG43" s="130"/>
      <x:c r="AH43" s="130"/>
      <x:c r="AI43" s="130"/>
      <x:c r="AJ43" s="130"/>
      <x:c r="AK43" s="130"/>
      <x:c r="AL43" s="130"/>
      <x:c r="AM43" s="130"/>
      <x:c r="AN43" s="130"/>
      <x:c r="AO43" s="130"/>
      <x:c r="AP43" s="130"/>
      <x:c r="AQ43" s="130"/>
      <x:c r="AR43" s="130"/>
      <x:c r="AS43" s="130"/>
      <x:c r="AT43" s="130"/>
      <x:c r="AU43" s="130"/>
      <x:c r="AV43" s="130"/>
      <x:c r="AW43" s="130"/>
      <x:c r="AX43" s="130"/>
      <x:c r="AY43" s="130"/>
      <x:c r="AZ43" s="130"/>
    </x:row>
    <x:row r="44">
      <x:c r="A44" s="130"/>
      <x:c r="B44" s="130"/>
      <x:c r="C44" s="130"/>
      <x:c r="D44" s="130"/>
      <x:c r="E44" s="130"/>
      <x:c r="F44" s="130"/>
      <x:c r="G44" s="130"/>
      <x:c r="H44" s="130"/>
      <x:c r="I44" s="130"/>
      <x:c r="J44" s="130"/>
      <x:c r="K44" s="130"/>
      <x:c r="L44" s="130"/>
      <x:c r="M44" s="130"/>
      <x:c r="N44" s="130"/>
      <x:c r="O44" s="130"/>
      <x:c r="P44" s="130"/>
      <x:c r="Q44" s="130"/>
      <x:c r="R44" s="130"/>
      <x:c r="S44" s="130"/>
      <x:c r="T44" s="130"/>
      <x:c r="U44" s="130"/>
      <x:c r="V44" s="130"/>
      <x:c r="W44" s="130"/>
      <x:c r="X44" s="130"/>
      <x:c r="Y44" s="130"/>
      <x:c r="Z44" s="130"/>
      <x:c r="AA44" s="130"/>
      <x:c r="AB44" s="130"/>
      <x:c r="AC44" s="130"/>
      <x:c r="AD44" s="130"/>
      <x:c r="AE44" s="130"/>
      <x:c r="AF44" s="130"/>
      <x:c r="AG44" s="130"/>
      <x:c r="AH44" s="130"/>
      <x:c r="AI44" s="130"/>
      <x:c r="AJ44" s="130"/>
      <x:c r="AK44" s="130"/>
      <x:c r="AL44" s="130"/>
      <x:c r="AM44" s="130"/>
      <x:c r="AN44" s="130"/>
      <x:c r="AO44" s="130"/>
      <x:c r="AP44" s="130"/>
      <x:c r="AQ44" s="130"/>
      <x:c r="AR44" s="130"/>
      <x:c r="AS44" s="130"/>
      <x:c r="AT44" s="130"/>
      <x:c r="AU44" s="130"/>
      <x:c r="AV44" s="130"/>
      <x:c r="AW44" s="130"/>
      <x:c r="AX44" s="130"/>
      <x:c r="AY44" s="130"/>
      <x:c r="AZ44" s="130"/>
    </x:row>
    <x:row r="45">
      <x:c r="A45" s="130"/>
      <x:c r="B45" s="130"/>
      <x:c r="C45" s="130"/>
      <x:c r="D45" s="130"/>
      <x:c r="E45" s="130"/>
      <x:c r="F45" s="130"/>
      <x:c r="G45" s="130"/>
      <x:c r="H45" s="130"/>
      <x:c r="I45" s="130"/>
      <x:c r="J45" s="130"/>
      <x:c r="K45" s="130"/>
      <x:c r="L45" s="130"/>
      <x:c r="M45" s="130"/>
      <x:c r="N45" s="130"/>
      <x:c r="O45" s="130"/>
      <x:c r="P45" s="130"/>
      <x:c r="Q45" s="130"/>
      <x:c r="R45" s="130"/>
      <x:c r="S45" s="130"/>
      <x:c r="T45" s="130"/>
      <x:c r="U45" s="130"/>
      <x:c r="V45" s="130"/>
      <x:c r="W45" s="130"/>
      <x:c r="X45" s="130"/>
      <x:c r="Y45" s="130"/>
      <x:c r="Z45" s="130"/>
      <x:c r="AA45" s="130"/>
      <x:c r="AB45" s="130"/>
      <x:c r="AC45" s="130"/>
      <x:c r="AD45" s="130"/>
      <x:c r="AE45" s="130"/>
      <x:c r="AF45" s="130"/>
      <x:c r="AG45" s="130"/>
      <x:c r="AH45" s="130"/>
      <x:c r="AI45" s="130"/>
      <x:c r="AJ45" s="130"/>
      <x:c r="AK45" s="130"/>
      <x:c r="AL45" s="130"/>
      <x:c r="AM45" s="130"/>
      <x:c r="AN45" s="130"/>
      <x:c r="AO45" s="130"/>
      <x:c r="AP45" s="130"/>
      <x:c r="AQ45" s="130"/>
      <x:c r="AR45" s="130"/>
      <x:c r="AS45" s="130"/>
      <x:c r="AT45" s="130"/>
      <x:c r="AU45" s="130"/>
      <x:c r="AV45" s="130"/>
      <x:c r="AW45" s="130"/>
      <x:c r="AX45" s="130"/>
      <x:c r="AY45" s="130"/>
      <x:c r="AZ45" s="130"/>
    </x:row>
    <x:row r="46">
      <x:c r="A46" s="130"/>
      <x:c r="B46" s="130"/>
      <x:c r="C46" s="130"/>
      <x:c r="D46" s="130"/>
      <x:c r="E46" s="130"/>
      <x:c r="F46" s="130"/>
      <x:c r="G46" s="130"/>
      <x:c r="H46" s="130"/>
      <x:c r="I46" s="130"/>
      <x:c r="J46" s="130"/>
      <x:c r="K46" s="130"/>
      <x:c r="L46" s="130"/>
      <x:c r="M46" s="130"/>
      <x:c r="N46" s="130"/>
      <x:c r="O46" s="130"/>
      <x:c r="P46" s="130"/>
      <x:c r="Q46" s="130"/>
      <x:c r="R46" s="130"/>
      <x:c r="S46" s="130"/>
      <x:c r="T46" s="130"/>
      <x:c r="U46" s="130"/>
      <x:c r="V46" s="130"/>
      <x:c r="W46" s="130"/>
      <x:c r="X46" s="130"/>
      <x:c r="Y46" s="130"/>
      <x:c r="Z46" s="130"/>
      <x:c r="AA46" s="130"/>
      <x:c r="AB46" s="130"/>
      <x:c r="AC46" s="130"/>
      <x:c r="AD46" s="130"/>
      <x:c r="AE46" s="130"/>
      <x:c r="AF46" s="130"/>
      <x:c r="AG46" s="130"/>
      <x:c r="AH46" s="130"/>
      <x:c r="AI46" s="130"/>
      <x:c r="AJ46" s="130"/>
      <x:c r="AK46" s="130"/>
      <x:c r="AL46" s="130"/>
      <x:c r="AM46" s="130"/>
      <x:c r="AN46" s="130"/>
      <x:c r="AO46" s="130"/>
      <x:c r="AP46" s="130"/>
      <x:c r="AQ46" s="130"/>
      <x:c r="AR46" s="130"/>
      <x:c r="AS46" s="130"/>
      <x:c r="AT46" s="130"/>
      <x:c r="AU46" s="130"/>
      <x:c r="AV46" s="130"/>
      <x:c r="AW46" s="130"/>
      <x:c r="AX46" s="130"/>
      <x:c r="AY46" s="130"/>
      <x:c r="AZ46" s="130"/>
    </x:row>
    <x:row r="47">
      <x:c r="A47" s="130"/>
      <x:c r="B47" s="130"/>
      <x:c r="C47" s="130"/>
      <x:c r="D47" s="130"/>
      <x:c r="E47" s="130"/>
      <x:c r="F47" s="130"/>
      <x:c r="G47" s="130"/>
      <x:c r="H47" s="130"/>
      <x:c r="I47" s="130"/>
      <x:c r="J47" s="130"/>
      <x:c r="K47" s="130"/>
      <x:c r="L47" s="130"/>
      <x:c r="M47" s="130"/>
      <x:c r="N47" s="130"/>
      <x:c r="O47" s="130"/>
      <x:c r="P47" s="130"/>
      <x:c r="Q47" s="130"/>
      <x:c r="R47" s="130"/>
      <x:c r="S47" s="130"/>
      <x:c r="T47" s="130"/>
      <x:c r="U47" s="130"/>
      <x:c r="V47" s="130"/>
      <x:c r="W47" s="130"/>
      <x:c r="X47" s="130"/>
      <x:c r="Y47" s="130"/>
      <x:c r="Z47" s="130"/>
      <x:c r="AA47" s="130"/>
      <x:c r="AB47" s="130"/>
      <x:c r="AC47" s="130"/>
      <x:c r="AD47" s="130"/>
      <x:c r="AE47" s="130"/>
      <x:c r="AF47" s="130"/>
      <x:c r="AG47" s="130"/>
      <x:c r="AH47" s="130"/>
      <x:c r="AI47" s="130"/>
      <x:c r="AJ47" s="130"/>
      <x:c r="AK47" s="130"/>
      <x:c r="AL47" s="130"/>
      <x:c r="AM47" s="130"/>
      <x:c r="AN47" s="130"/>
      <x:c r="AO47" s="130"/>
      <x:c r="AP47" s="130"/>
      <x:c r="AQ47" s="130"/>
      <x:c r="AR47" s="130"/>
      <x:c r="AS47" s="130"/>
      <x:c r="AT47" s="130"/>
      <x:c r="AU47" s="130"/>
      <x:c r="AV47" s="130"/>
      <x:c r="AW47" s="130"/>
      <x:c r="AX47" s="130"/>
      <x:c r="AY47" s="130"/>
      <x:c r="AZ47" s="130"/>
    </x:row>
    <x:row r="48">
      <x:c r="A48" s="130"/>
      <x:c r="B48" s="130"/>
      <x:c r="C48" s="130"/>
      <x:c r="D48" s="130"/>
      <x:c r="E48" s="130"/>
      <x:c r="F48" s="130"/>
      <x:c r="G48" s="130"/>
      <x:c r="H48" s="130"/>
      <x:c r="I48" s="130"/>
      <x:c r="J48" s="130"/>
      <x:c r="K48" s="130"/>
      <x:c r="L48" s="130"/>
      <x:c r="M48" s="130"/>
      <x:c r="N48" s="130"/>
      <x:c r="O48" s="130"/>
      <x:c r="P48" s="130"/>
      <x:c r="Q48" s="130"/>
      <x:c r="R48" s="130"/>
      <x:c r="S48" s="130"/>
      <x:c r="T48" s="130"/>
      <x:c r="U48" s="130"/>
      <x:c r="V48" s="130"/>
      <x:c r="W48" s="130"/>
      <x:c r="X48" s="130"/>
      <x:c r="Y48" s="130"/>
      <x:c r="Z48" s="130"/>
      <x:c r="AA48" s="130"/>
      <x:c r="AB48" s="130"/>
      <x:c r="AC48" s="130"/>
      <x:c r="AD48" s="130"/>
      <x:c r="AE48" s="130"/>
      <x:c r="AF48" s="130"/>
      <x:c r="AG48" s="130"/>
      <x:c r="AH48" s="130"/>
      <x:c r="AI48" s="130"/>
      <x:c r="AJ48" s="130"/>
      <x:c r="AK48" s="130"/>
      <x:c r="AL48" s="130"/>
      <x:c r="AM48" s="130"/>
      <x:c r="AN48" s="130"/>
      <x:c r="AO48" s="130"/>
      <x:c r="AP48" s="130"/>
      <x:c r="AQ48" s="130"/>
      <x:c r="AR48" s="130"/>
      <x:c r="AS48" s="130"/>
      <x:c r="AT48" s="130"/>
      <x:c r="AU48" s="130"/>
      <x:c r="AV48" s="130"/>
      <x:c r="AW48" s="130"/>
      <x:c r="AX48" s="130"/>
      <x:c r="AY48" s="130"/>
      <x:c r="AZ48" s="130"/>
    </x:row>
    <x:row r="49">
      <x:c r="A49" s="130"/>
      <x:c r="B49" s="130"/>
      <x:c r="C49" s="130"/>
      <x:c r="D49" s="130"/>
      <x:c r="E49" s="130"/>
      <x:c r="F49" s="130"/>
      <x:c r="G49" s="130"/>
      <x:c r="H49" s="130"/>
      <x:c r="I49" s="130"/>
      <x:c r="J49" s="130"/>
      <x:c r="K49" s="130"/>
      <x:c r="L49" s="130"/>
      <x:c r="M49" s="130"/>
      <x:c r="N49" s="130"/>
      <x:c r="O49" s="130"/>
      <x:c r="P49" s="130"/>
      <x:c r="Q49" s="130"/>
      <x:c r="R49" s="130"/>
      <x:c r="S49" s="130"/>
      <x:c r="T49" s="130"/>
      <x:c r="U49" s="130"/>
      <x:c r="V49" s="130"/>
      <x:c r="W49" s="130"/>
      <x:c r="X49" s="130"/>
      <x:c r="Y49" s="130"/>
      <x:c r="Z49" s="130"/>
      <x:c r="AA49" s="130"/>
      <x:c r="AB49" s="130"/>
      <x:c r="AC49" s="130"/>
      <x:c r="AD49" s="130"/>
      <x:c r="AE49" s="130"/>
      <x:c r="AF49" s="130"/>
      <x:c r="AG49" s="130"/>
      <x:c r="AH49" s="130"/>
      <x:c r="AI49" s="130"/>
      <x:c r="AJ49" s="130"/>
      <x:c r="AK49" s="130"/>
      <x:c r="AL49" s="130"/>
      <x:c r="AM49" s="130"/>
      <x:c r="AN49" s="130"/>
      <x:c r="AO49" s="130"/>
      <x:c r="AP49" s="130"/>
      <x:c r="AQ49" s="130"/>
      <x:c r="AR49" s="130"/>
      <x:c r="AS49" s="130"/>
      <x:c r="AT49" s="130"/>
      <x:c r="AU49" s="130"/>
      <x:c r="AV49" s="130"/>
      <x:c r="AW49" s="130"/>
      <x:c r="AX49" s="130"/>
      <x:c r="AY49" s="130"/>
      <x:c r="AZ49" s="130"/>
    </x:row>
    <x:row r="50">
      <x:c r="A50" s="130"/>
      <x:c r="B50" s="130"/>
      <x:c r="C50" s="130"/>
      <x:c r="D50" s="130"/>
      <x:c r="E50" s="130"/>
      <x:c r="F50" s="130"/>
      <x:c r="G50" s="130"/>
      <x:c r="H50" s="130"/>
      <x:c r="I50" s="130"/>
      <x:c r="J50" s="130"/>
      <x:c r="K50" s="130"/>
      <x:c r="L50" s="130"/>
      <x:c r="M50" s="130"/>
      <x:c r="N50" s="130"/>
      <x:c r="O50" s="130"/>
      <x:c r="P50" s="130"/>
      <x:c r="Q50" s="130"/>
      <x:c r="R50" s="130"/>
      <x:c r="S50" s="130"/>
      <x:c r="T50" s="130"/>
      <x:c r="U50" s="130"/>
      <x:c r="V50" s="130"/>
      <x:c r="W50" s="130"/>
      <x:c r="X50" s="130"/>
      <x:c r="Y50" s="130"/>
      <x:c r="Z50" s="130"/>
      <x:c r="AA50" s="130"/>
      <x:c r="AB50" s="130"/>
      <x:c r="AC50" s="130"/>
      <x:c r="AD50" s="130"/>
      <x:c r="AE50" s="130"/>
      <x:c r="AF50" s="130"/>
      <x:c r="AG50" s="130"/>
      <x:c r="AH50" s="130"/>
      <x:c r="AI50" s="130"/>
      <x:c r="AJ50" s="130"/>
      <x:c r="AK50" s="130"/>
      <x:c r="AL50" s="130"/>
      <x:c r="AM50" s="130"/>
      <x:c r="AN50" s="130"/>
      <x:c r="AO50" s="130"/>
      <x:c r="AP50" s="130"/>
      <x:c r="AQ50" s="130"/>
      <x:c r="AR50" s="130"/>
      <x:c r="AS50" s="130"/>
      <x:c r="AT50" s="130"/>
      <x:c r="AU50" s="130"/>
      <x:c r="AV50" s="130"/>
      <x:c r="AW50" s="130"/>
      <x:c r="AX50" s="130"/>
      <x:c r="AY50" s="130"/>
      <x:c r="AZ50" s="130"/>
    </x:row>
    <x:row r="51">
      <x:c r="A51" s="130"/>
      <x:c r="B51" s="130"/>
      <x:c r="C51" s="130"/>
      <x:c r="D51" s="130"/>
      <x:c r="E51" s="130"/>
      <x:c r="F51" s="130"/>
      <x:c r="G51" s="130"/>
      <x:c r="H51" s="130"/>
      <x:c r="I51" s="130"/>
      <x:c r="J51" s="130"/>
      <x:c r="K51" s="130"/>
      <x:c r="L51" s="130"/>
      <x:c r="M51" s="130"/>
      <x:c r="N51" s="130"/>
      <x:c r="O51" s="130"/>
      <x:c r="P51" s="130"/>
      <x:c r="Q51" s="130"/>
      <x:c r="R51" s="130"/>
      <x:c r="S51" s="130"/>
      <x:c r="T51" s="130"/>
      <x:c r="U51" s="130"/>
      <x:c r="V51" s="130"/>
      <x:c r="W51" s="130"/>
      <x:c r="X51" s="130"/>
      <x:c r="Y51" s="130"/>
      <x:c r="Z51" s="130"/>
      <x:c r="AA51" s="130"/>
      <x:c r="AB51" s="130"/>
      <x:c r="AC51" s="130"/>
      <x:c r="AD51" s="130"/>
      <x:c r="AE51" s="130"/>
      <x:c r="AF51" s="130"/>
      <x:c r="AG51" s="130"/>
      <x:c r="AH51" s="130"/>
      <x:c r="AI51" s="130"/>
      <x:c r="AJ51" s="130"/>
      <x:c r="AK51" s="130"/>
      <x:c r="AL51" s="130"/>
      <x:c r="AM51" s="130"/>
      <x:c r="AN51" s="130"/>
      <x:c r="AO51" s="130"/>
      <x:c r="AP51" s="130"/>
      <x:c r="AQ51" s="130"/>
      <x:c r="AR51" s="130"/>
      <x:c r="AS51" s="130"/>
      <x:c r="AT51" s="130"/>
      <x:c r="AU51" s="130"/>
      <x:c r="AV51" s="130"/>
      <x:c r="AW51" s="130"/>
      <x:c r="AX51" s="130"/>
      <x:c r="AY51" s="130"/>
      <x:c r="AZ51" s="130"/>
    </x:row>
    <x:row r="52">
      <x:c r="A52" s="130"/>
      <x:c r="B52" s="130"/>
      <x:c r="C52" s="130"/>
      <x:c r="D52" s="130"/>
      <x:c r="E52" s="130"/>
      <x:c r="F52" s="130"/>
      <x:c r="G52" s="130"/>
      <x:c r="H52" s="130"/>
      <x:c r="I52" s="130"/>
      <x:c r="J52" s="130"/>
      <x:c r="K52" s="130"/>
      <x:c r="L52" s="130"/>
      <x:c r="M52" s="130"/>
      <x:c r="N52" s="130"/>
      <x:c r="O52" s="130"/>
      <x:c r="P52" s="130"/>
      <x:c r="Q52" s="130"/>
      <x:c r="R52" s="130"/>
      <x:c r="S52" s="130"/>
      <x:c r="T52" s="130"/>
      <x:c r="U52" s="130"/>
      <x:c r="V52" s="130"/>
      <x:c r="W52" s="130"/>
      <x:c r="X52" s="130"/>
      <x:c r="Y52" s="130"/>
      <x:c r="Z52" s="130"/>
      <x:c r="AA52" s="130"/>
      <x:c r="AB52" s="130"/>
      <x:c r="AC52" s="130"/>
      <x:c r="AD52" s="130"/>
      <x:c r="AE52" s="130"/>
      <x:c r="AF52" s="130"/>
      <x:c r="AG52" s="130"/>
      <x:c r="AH52" s="130"/>
      <x:c r="AI52" s="130"/>
      <x:c r="AJ52" s="130"/>
      <x:c r="AK52" s="130"/>
      <x:c r="AL52" s="130"/>
      <x:c r="AM52" s="130"/>
      <x:c r="AN52" s="130"/>
      <x:c r="AO52" s="130"/>
      <x:c r="AP52" s="130"/>
      <x:c r="AQ52" s="130"/>
      <x:c r="AR52" s="130"/>
      <x:c r="AS52" s="130"/>
      <x:c r="AT52" s="130"/>
      <x:c r="AU52" s="130"/>
      <x:c r="AV52" s="130"/>
      <x:c r="AW52" s="130"/>
      <x:c r="AX52" s="130"/>
      <x:c r="AY52" s="130"/>
      <x:c r="AZ52" s="130"/>
    </x:row>
    <x:row r="53">
      <x:c r="A53" s="130"/>
      <x:c r="B53" s="130"/>
      <x:c r="C53" s="130"/>
      <x:c r="D53" s="130"/>
      <x:c r="E53" s="130"/>
      <x:c r="F53" s="130"/>
      <x:c r="G53" s="130"/>
      <x:c r="H53" s="130"/>
      <x:c r="I53" s="130"/>
      <x:c r="J53" s="130"/>
      <x:c r="K53" s="130"/>
      <x:c r="L53" s="130"/>
      <x:c r="M53" s="130"/>
      <x:c r="N53" s="130"/>
      <x:c r="O53" s="130"/>
      <x:c r="P53" s="130"/>
      <x:c r="Q53" s="130"/>
      <x:c r="R53" s="130"/>
      <x:c r="S53" s="130"/>
      <x:c r="T53" s="130"/>
      <x:c r="U53" s="130"/>
      <x:c r="V53" s="130"/>
      <x:c r="W53" s="130"/>
      <x:c r="X53" s="130"/>
      <x:c r="Y53" s="130"/>
      <x:c r="Z53" s="130"/>
      <x:c r="AA53" s="130"/>
      <x:c r="AB53" s="130"/>
      <x:c r="AC53" s="130"/>
      <x:c r="AD53" s="130"/>
      <x:c r="AE53" s="130"/>
      <x:c r="AF53" s="130"/>
      <x:c r="AG53" s="130"/>
      <x:c r="AH53" s="130"/>
      <x:c r="AI53" s="130"/>
      <x:c r="AJ53" s="130"/>
      <x:c r="AK53" s="130"/>
      <x:c r="AL53" s="130"/>
      <x:c r="AM53" s="130"/>
      <x:c r="AN53" s="130"/>
      <x:c r="AO53" s="130"/>
      <x:c r="AP53" s="130"/>
      <x:c r="AQ53" s="130"/>
      <x:c r="AR53" s="130"/>
      <x:c r="AS53" s="130"/>
      <x:c r="AT53" s="130"/>
      <x:c r="AU53" s="130"/>
      <x:c r="AV53" s="130"/>
      <x:c r="AW53" s="130"/>
      <x:c r="AX53" s="130"/>
      <x:c r="AY53" s="130"/>
      <x:c r="AZ53" s="130"/>
    </x:row>
    <x:row r="54">
      <x:c r="A54" s="130"/>
      <x:c r="B54" s="130"/>
      <x:c r="C54" s="130"/>
      <x:c r="D54" s="130"/>
      <x:c r="E54" s="130"/>
      <x:c r="F54" s="130"/>
      <x:c r="G54" s="130"/>
      <x:c r="H54" s="130"/>
      <x:c r="I54" s="130"/>
      <x:c r="J54" s="130"/>
      <x:c r="K54" s="130"/>
      <x:c r="L54" s="130"/>
      <x:c r="M54" s="130"/>
      <x:c r="N54" s="130"/>
      <x:c r="O54" s="130"/>
      <x:c r="P54" s="130"/>
      <x:c r="Q54" s="130"/>
      <x:c r="R54" s="130"/>
      <x:c r="S54" s="130"/>
      <x:c r="T54" s="130"/>
      <x:c r="U54" s="130"/>
      <x:c r="V54" s="130"/>
      <x:c r="W54" s="130"/>
      <x:c r="X54" s="130"/>
      <x:c r="Y54" s="130"/>
      <x:c r="Z54" s="130"/>
      <x:c r="AA54" s="130"/>
      <x:c r="AB54" s="130"/>
      <x:c r="AC54" s="130"/>
      <x:c r="AD54" s="130"/>
      <x:c r="AE54" s="130"/>
      <x:c r="AF54" s="130"/>
      <x:c r="AG54" s="130"/>
      <x:c r="AH54" s="130"/>
      <x:c r="AI54" s="130"/>
      <x:c r="AJ54" s="130"/>
      <x:c r="AK54" s="130"/>
      <x:c r="AL54" s="130"/>
      <x:c r="AM54" s="130"/>
      <x:c r="AN54" s="130"/>
      <x:c r="AO54" s="130"/>
      <x:c r="AP54" s="130"/>
      <x:c r="AQ54" s="130"/>
      <x:c r="AR54" s="130"/>
      <x:c r="AS54" s="130"/>
      <x:c r="AT54" s="130"/>
      <x:c r="AU54" s="130"/>
      <x:c r="AV54" s="130"/>
      <x:c r="AW54" s="130"/>
      <x:c r="AX54" s="130"/>
      <x:c r="AY54" s="130"/>
      <x:c r="AZ54" s="130"/>
    </x:row>
    <x:row r="55">
      <x:c r="A55" s="130"/>
      <x:c r="B55" s="130"/>
      <x:c r="C55" s="130"/>
      <x:c r="D55" s="130"/>
      <x:c r="E55" s="130"/>
      <x:c r="F55" s="130"/>
      <x:c r="G55" s="130"/>
      <x:c r="H55" s="130"/>
      <x:c r="I55" s="130"/>
      <x:c r="J55" s="130"/>
      <x:c r="K55" s="130"/>
      <x:c r="L55" s="130"/>
      <x:c r="M55" s="130"/>
      <x:c r="N55" s="130"/>
      <x:c r="O55" s="130"/>
      <x:c r="P55" s="130"/>
      <x:c r="Q55" s="130"/>
      <x:c r="R55" s="130"/>
      <x:c r="S55" s="130"/>
      <x:c r="T55" s="130"/>
      <x:c r="U55" s="130"/>
      <x:c r="V55" s="130"/>
      <x:c r="W55" s="130"/>
      <x:c r="X55" s="130"/>
      <x:c r="Y55" s="130"/>
      <x:c r="Z55" s="130"/>
      <x:c r="AA55" s="130"/>
      <x:c r="AB55" s="130"/>
      <x:c r="AC55" s="130"/>
      <x:c r="AD55" s="130"/>
      <x:c r="AE55" s="130"/>
      <x:c r="AF55" s="130"/>
      <x:c r="AG55" s="130"/>
      <x:c r="AH55" s="130"/>
      <x:c r="AI55" s="130"/>
      <x:c r="AJ55" s="130"/>
      <x:c r="AK55" s="130"/>
      <x:c r="AL55" s="130"/>
      <x:c r="AM55" s="130"/>
      <x:c r="AN55" s="130"/>
      <x:c r="AO55" s="130"/>
      <x:c r="AP55" s="130"/>
      <x:c r="AQ55" s="130"/>
      <x:c r="AR55" s="130"/>
      <x:c r="AS55" s="130"/>
      <x:c r="AT55" s="130"/>
      <x:c r="AU55" s="130"/>
      <x:c r="AV55" s="130"/>
      <x:c r="AW55" s="130"/>
      <x:c r="AX55" s="130"/>
      <x:c r="AY55" s="130"/>
      <x:c r="AZ55" s="130"/>
    </x:row>
    <x:row r="56">
      <x:c r="A56" s="130"/>
      <x:c r="B56" s="130"/>
      <x:c r="C56" s="130"/>
      <x:c r="D56" s="130"/>
      <x:c r="E56" s="130"/>
      <x:c r="F56" s="130"/>
      <x:c r="G56" s="130"/>
      <x:c r="H56" s="130"/>
      <x:c r="I56" s="130"/>
      <x:c r="J56" s="130"/>
      <x:c r="K56" s="130"/>
      <x:c r="L56" s="130"/>
      <x:c r="M56" s="130"/>
      <x:c r="N56" s="130"/>
      <x:c r="O56" s="130"/>
      <x:c r="P56" s="130"/>
      <x:c r="Q56" s="130"/>
      <x:c r="R56" s="130"/>
      <x:c r="S56" s="130"/>
      <x:c r="T56" s="130"/>
      <x:c r="U56" s="130"/>
      <x:c r="V56" s="130"/>
      <x:c r="W56" s="130"/>
      <x:c r="X56" s="130"/>
      <x:c r="Y56" s="130"/>
      <x:c r="Z56" s="130"/>
      <x:c r="AA56" s="130"/>
      <x:c r="AB56" s="130"/>
      <x:c r="AC56" s="130"/>
      <x:c r="AD56" s="130"/>
      <x:c r="AE56" s="130"/>
      <x:c r="AF56" s="130"/>
      <x:c r="AG56" s="130"/>
      <x:c r="AH56" s="130"/>
      <x:c r="AI56" s="130"/>
      <x:c r="AJ56" s="130"/>
      <x:c r="AK56" s="130"/>
      <x:c r="AL56" s="130"/>
      <x:c r="AM56" s="130"/>
      <x:c r="AN56" s="130"/>
      <x:c r="AO56" s="130"/>
      <x:c r="AP56" s="130"/>
      <x:c r="AQ56" s="130"/>
      <x:c r="AR56" s="130"/>
      <x:c r="AS56" s="130"/>
      <x:c r="AT56" s="130"/>
      <x:c r="AU56" s="130"/>
      <x:c r="AV56" s="130"/>
      <x:c r="AW56" s="130"/>
      <x:c r="AX56" s="130"/>
      <x:c r="AY56" s="130"/>
      <x:c r="AZ56" s="130"/>
    </x:row>
    <x:row r="57">
      <x:c r="A57" s="130"/>
      <x:c r="B57" s="130"/>
      <x:c r="C57" s="130"/>
      <x:c r="D57" s="130"/>
      <x:c r="E57" s="130"/>
      <x:c r="F57" s="130"/>
      <x:c r="G57" s="130"/>
      <x:c r="H57" s="130"/>
      <x:c r="I57" s="130"/>
      <x:c r="J57" s="130"/>
      <x:c r="K57" s="130"/>
      <x:c r="L57" s="130"/>
      <x:c r="M57" s="130"/>
      <x:c r="N57" s="130"/>
      <x:c r="O57" s="130"/>
      <x:c r="P57" s="130"/>
      <x:c r="Q57" s="130"/>
      <x:c r="R57" s="130"/>
      <x:c r="S57" s="130"/>
      <x:c r="T57" s="130"/>
      <x:c r="U57" s="130"/>
      <x:c r="V57" s="130"/>
      <x:c r="W57" s="130"/>
      <x:c r="X57" s="130"/>
      <x:c r="Y57" s="130"/>
      <x:c r="Z57" s="130"/>
      <x:c r="AA57" s="130"/>
      <x:c r="AB57" s="130"/>
      <x:c r="AC57" s="130"/>
      <x:c r="AD57" s="130"/>
      <x:c r="AE57" s="130"/>
      <x:c r="AF57" s="130"/>
      <x:c r="AG57" s="130"/>
      <x:c r="AH57" s="130"/>
      <x:c r="AI57" s="130"/>
      <x:c r="AJ57" s="130"/>
      <x:c r="AK57" s="130"/>
      <x:c r="AL57" s="130"/>
      <x:c r="AM57" s="130"/>
      <x:c r="AN57" s="130"/>
      <x:c r="AO57" s="130"/>
      <x:c r="AP57" s="130"/>
      <x:c r="AQ57" s="130"/>
      <x:c r="AR57" s="130"/>
      <x:c r="AS57" s="130"/>
      <x:c r="AT57" s="130"/>
      <x:c r="AU57" s="130"/>
      <x:c r="AV57" s="130"/>
      <x:c r="AW57" s="130"/>
      <x:c r="AX57" s="130"/>
      <x:c r="AY57" s="130"/>
      <x:c r="AZ57" s="130"/>
    </x:row>
    <x:row r="58">
      <x:c r="A58" s="130"/>
      <x:c r="B58" s="130"/>
      <x:c r="C58" s="130"/>
      <x:c r="D58" s="130"/>
      <x:c r="E58" s="130"/>
      <x:c r="F58" s="130"/>
      <x:c r="G58" s="130"/>
      <x:c r="H58" s="130"/>
      <x:c r="I58" s="130"/>
      <x:c r="J58" s="130"/>
      <x:c r="K58" s="130"/>
      <x:c r="L58" s="130"/>
      <x:c r="M58" s="130"/>
      <x:c r="N58" s="130"/>
      <x:c r="O58" s="130"/>
      <x:c r="P58" s="130"/>
      <x:c r="Q58" s="130"/>
      <x:c r="R58" s="130"/>
      <x:c r="S58" s="130"/>
      <x:c r="T58" s="130"/>
      <x:c r="U58" s="130"/>
      <x:c r="V58" s="130"/>
      <x:c r="W58" s="130"/>
      <x:c r="X58" s="130"/>
      <x:c r="Y58" s="130"/>
      <x:c r="Z58" s="130"/>
      <x:c r="AA58" s="130"/>
      <x:c r="AB58" s="130"/>
      <x:c r="AC58" s="130"/>
      <x:c r="AD58" s="130"/>
      <x:c r="AE58" s="130"/>
      <x:c r="AF58" s="130"/>
      <x:c r="AG58" s="130"/>
      <x:c r="AH58" s="130"/>
      <x:c r="AI58" s="130"/>
      <x:c r="AJ58" s="130"/>
      <x:c r="AK58" s="130"/>
      <x:c r="AL58" s="130"/>
      <x:c r="AM58" s="130"/>
      <x:c r="AN58" s="130"/>
      <x:c r="AO58" s="130"/>
      <x:c r="AP58" s="130"/>
      <x:c r="AQ58" s="130"/>
      <x:c r="AR58" s="130"/>
      <x:c r="AS58" s="130"/>
      <x:c r="AT58" s="130"/>
      <x:c r="AU58" s="130"/>
      <x:c r="AV58" s="130"/>
      <x:c r="AW58" s="130"/>
      <x:c r="AX58" s="130"/>
      <x:c r="AY58" s="130"/>
      <x:c r="AZ58" s="130"/>
    </x:row>
    <x:row r="59">
      <x:c r="A59" s="130"/>
      <x:c r="B59" s="130"/>
      <x:c r="C59" s="130"/>
      <x:c r="D59" s="130"/>
      <x:c r="E59" s="130"/>
      <x:c r="F59" s="130"/>
      <x:c r="G59" s="130"/>
      <x:c r="H59" s="130"/>
      <x:c r="I59" s="130"/>
      <x:c r="J59" s="130"/>
      <x:c r="K59" s="130"/>
      <x:c r="L59" s="130"/>
      <x:c r="M59" s="130"/>
      <x:c r="N59" s="130"/>
      <x:c r="O59" s="130"/>
      <x:c r="P59" s="130"/>
      <x:c r="Q59" s="130"/>
      <x:c r="R59" s="130"/>
      <x:c r="S59" s="130"/>
      <x:c r="T59" s="130"/>
      <x:c r="U59" s="130"/>
      <x:c r="V59" s="130"/>
      <x:c r="W59" s="130"/>
      <x:c r="X59" s="130"/>
      <x:c r="Y59" s="130"/>
      <x:c r="Z59" s="130"/>
      <x:c r="AA59" s="130"/>
      <x:c r="AB59" s="130"/>
      <x:c r="AC59" s="130"/>
      <x:c r="AD59" s="130"/>
      <x:c r="AE59" s="130"/>
      <x:c r="AF59" s="130"/>
      <x:c r="AG59" s="130"/>
      <x:c r="AH59" s="130"/>
      <x:c r="AI59" s="130"/>
      <x:c r="AJ59" s="130"/>
      <x:c r="AK59" s="130"/>
      <x:c r="AL59" s="130"/>
      <x:c r="AM59" s="130"/>
      <x:c r="AN59" s="130"/>
      <x:c r="AO59" s="130"/>
      <x:c r="AP59" s="130"/>
      <x:c r="AQ59" s="130"/>
      <x:c r="AR59" s="130"/>
      <x:c r="AS59" s="130"/>
      <x:c r="AT59" s="130"/>
      <x:c r="AU59" s="130"/>
      <x:c r="AV59" s="130"/>
      <x:c r="AW59" s="130"/>
      <x:c r="AX59" s="130"/>
      <x:c r="AY59" s="130"/>
      <x:c r="AZ59" s="130"/>
    </x:row>
    <x:row r="60">
      <x:c r="A60" s="130"/>
      <x:c r="B60" s="130"/>
      <x:c r="C60" s="130"/>
      <x:c r="D60" s="130"/>
      <x:c r="E60" s="130"/>
      <x:c r="F60" s="130"/>
      <x:c r="G60" s="130"/>
      <x:c r="H60" s="130"/>
      <x:c r="I60" s="130"/>
      <x:c r="J60" s="130"/>
      <x:c r="K60" s="130"/>
      <x:c r="L60" s="130"/>
      <x:c r="M60" s="130"/>
      <x:c r="N60" s="130"/>
      <x:c r="O60" s="130"/>
      <x:c r="P60" s="130"/>
      <x:c r="Q60" s="130"/>
      <x:c r="R60" s="130"/>
      <x:c r="S60" s="130"/>
      <x:c r="T60" s="130"/>
      <x:c r="U60" s="130"/>
      <x:c r="V60" s="130"/>
      <x:c r="W60" s="130"/>
      <x:c r="X60" s="130"/>
      <x:c r="Y60" s="130"/>
      <x:c r="Z60" s="130"/>
      <x:c r="AA60" s="130"/>
      <x:c r="AB60" s="130"/>
      <x:c r="AC60" s="130"/>
      <x:c r="AD60" s="130"/>
      <x:c r="AE60" s="130"/>
      <x:c r="AF60" s="130"/>
      <x:c r="AG60" s="130"/>
      <x:c r="AH60" s="130"/>
      <x:c r="AI60" s="130"/>
      <x:c r="AJ60" s="130"/>
      <x:c r="AK60" s="130"/>
      <x:c r="AL60" s="130"/>
      <x:c r="AM60" s="130"/>
      <x:c r="AN60" s="130"/>
      <x:c r="AO60" s="130"/>
      <x:c r="AP60" s="130"/>
      <x:c r="AQ60" s="130"/>
      <x:c r="AR60" s="130"/>
      <x:c r="AS60" s="130"/>
      <x:c r="AT60" s="130"/>
      <x:c r="AU60" s="130"/>
      <x:c r="AV60" s="130"/>
      <x:c r="AW60" s="130"/>
      <x:c r="AX60" s="130"/>
      <x:c r="AY60" s="130"/>
      <x:c r="AZ60" s="130"/>
    </x:row>
  </x:sheetData>
  <x:mergeCells>
    <x:mergeCell ref="A1:N2"/>
    <x:mergeCell ref="A3:N3"/>
    <x:mergeCell ref="A5:C9"/>
    <x:mergeCell ref="D5:F9"/>
    <x:mergeCell ref="G5:I9"/>
    <x:mergeCell ref="J5:L9"/>
    <x:mergeCell ref="A27:F32"/>
  </x:mergeCells>
  <x:conditionalFormatting sqref="D14:D17">
    <x:cfRule type="colorScale" priority="1">
      <x:colorScale>
        <x:cfvo type="min"/>
        <x:cfvo type="percentile" val="50"/>
        <x:cfvo type="max"/>
        <x:color rgb="FFF7C9C9"/>
        <x:color rgb="FFFFF0B3"/>
        <x:color rgb="FFCDEBCF"/>
      </x:colorScale>
    </x:cfRule>
  </x:conditionalFormatting>
  <x:pageMargins left="0.7" right="0.7" top="0.75" bottom="0.75" header="0.3" footer="0.3"/>
  <x:drawing xmlns:r="http://schemas.openxmlformats.org/officeDocument/2006/relationships" r:id="R12417b8a862043fa"/>
</x:worksheet>
</file>

<file path=xl/worksheets/sheet9.xml><?xml version="1.0" encoding="utf-8"?>
<x:worksheet xmlns:x="http://schemas.openxmlformats.org/spreadsheetml/2006/main">
  <x:sheetFormatPr defaultRowHeight="15"/>
  <x:cols>
    <x:col min="1" max="1" width="8" hidden="0" customWidth="1"/>
    <x:col min="2" max="2" width="62" hidden="0" customWidth="1"/>
    <x:col min="3" max="3" width="48" hidden="0" customWidth="1"/>
    <x:col min="5" max="5" width="18" hidden="0" customWidth="1"/>
    <x:col min="6" max="6" width="18" hidden="0" customWidth="1"/>
    <x:col min="7" max="7" width="18" hidden="0" customWidth="1"/>
    <x:col min="8" max="8" width="18" hidden="0" customWidth="1"/>
  </x:cols>
  <x:sheetData>
    <x:row r="1">
      <x:c r="A1" s="5" t="str">
        <x:v>Tableau Desktop build guide</x:v>
      </x:c>
      <x:c r="B1" s="5"/>
      <x:c r="C1" s="5"/>
      <x:c r="D1" s="5"/>
      <x:c r="E1" s="5"/>
      <x:c r="F1" s="5"/>
      <x:c r="G1" s="5"/>
      <x:c r="H1" s="5"/>
      <x:c r="I1" s="130"/>
      <x:c r="J1" s="130"/>
      <x:c r="K1" s="130"/>
      <x:c r="L1" s="130"/>
      <x:c r="M1" s="130"/>
      <x:c r="N1" s="130"/>
      <x:c r="O1" s="130"/>
      <x:c r="P1" s="130"/>
      <x:c r="Q1" s="130"/>
      <x:c r="R1" s="130"/>
      <x:c r="S1" s="130"/>
      <x:c r="T1" s="130"/>
      <x:c r="U1" s="130"/>
      <x:c r="V1" s="130"/>
      <x:c r="W1" s="130"/>
      <x:c r="X1" s="130"/>
      <x:c r="Y1" s="130"/>
      <x:c r="Z1" s="130"/>
      <x:c r="AA1" s="130"/>
      <x:c r="AB1" s="130"/>
      <x:c r="AC1" s="130"/>
      <x:c r="AD1" s="130"/>
      <x:c r="AE1" s="130"/>
      <x:c r="AF1" s="130"/>
      <x:c r="AG1" s="130"/>
      <x:c r="AH1" s="130"/>
      <x:c r="AI1" s="130"/>
      <x:c r="AJ1" s="130"/>
      <x:c r="AK1" s="130"/>
      <x:c r="AL1" s="130"/>
      <x:c r="AM1" s="130"/>
      <x:c r="AN1" s="130"/>
      <x:c r="AO1" s="130"/>
      <x:c r="AP1" s="130"/>
      <x:c r="AQ1" s="130"/>
      <x:c r="AR1" s="130"/>
      <x:c r="AS1" s="130"/>
      <x:c r="AT1" s="130"/>
      <x:c r="AU1" s="130"/>
      <x:c r="AV1" s="130"/>
      <x:c r="AW1" s="130"/>
      <x:c r="AX1" s="130"/>
      <x:c r="AY1" s="130"/>
      <x:c r="AZ1" s="130"/>
    </x:row>
    <x:row r="2">
      <x:c r="A2" s="5"/>
      <x:c r="B2" s="5"/>
      <x:c r="C2" s="5"/>
      <x:c r="D2" s="5"/>
      <x:c r="E2" s="5"/>
      <x:c r="F2" s="5"/>
      <x:c r="G2" s="5"/>
      <x:c r="H2" s="5"/>
      <x:c r="I2" s="130"/>
      <x:c r="J2" s="130"/>
      <x:c r="K2" s="130"/>
      <x:c r="L2" s="130"/>
      <x:c r="M2" s="130"/>
      <x:c r="N2" s="130"/>
      <x:c r="O2" s="130"/>
      <x:c r="P2" s="130"/>
      <x:c r="Q2" s="130"/>
      <x:c r="R2" s="130"/>
      <x:c r="S2" s="130"/>
      <x:c r="T2" s="130"/>
      <x:c r="U2" s="130"/>
      <x:c r="V2" s="130"/>
      <x:c r="W2" s="130"/>
      <x:c r="X2" s="130"/>
      <x:c r="Y2" s="130"/>
      <x:c r="Z2" s="130"/>
      <x:c r="AA2" s="130"/>
      <x:c r="AB2" s="130"/>
      <x:c r="AC2" s="130"/>
      <x:c r="AD2" s="130"/>
      <x:c r="AE2" s="130"/>
      <x:c r="AF2" s="130"/>
      <x:c r="AG2" s="130"/>
      <x:c r="AH2" s="130"/>
      <x:c r="AI2" s="130"/>
      <x:c r="AJ2" s="130"/>
      <x:c r="AK2" s="130"/>
      <x:c r="AL2" s="130"/>
      <x:c r="AM2" s="130"/>
      <x:c r="AN2" s="130"/>
      <x:c r="AO2" s="130"/>
      <x:c r="AP2" s="130"/>
      <x:c r="AQ2" s="130"/>
      <x:c r="AR2" s="130"/>
      <x:c r="AS2" s="130"/>
      <x:c r="AT2" s="130"/>
      <x:c r="AU2" s="130"/>
      <x:c r="AV2" s="130"/>
      <x:c r="AW2" s="130"/>
      <x:c r="AX2" s="130"/>
      <x:c r="AY2" s="130"/>
      <x:c r="AZ2" s="130"/>
    </x:row>
    <x:row r="3">
      <x:c r="A3" s="130"/>
      <x:c r="B3" s="130"/>
      <x:c r="C3" s="130"/>
      <x:c r="D3" s="130"/>
      <x:c r="E3" s="130"/>
      <x:c r="F3" s="130"/>
      <x:c r="G3" s="130"/>
      <x:c r="H3" s="130"/>
      <x:c r="I3" s="130"/>
      <x:c r="J3" s="130"/>
      <x:c r="K3" s="130"/>
      <x:c r="L3" s="130"/>
      <x:c r="M3" s="130"/>
      <x:c r="N3" s="130"/>
      <x:c r="O3" s="130"/>
      <x:c r="P3" s="130"/>
      <x:c r="Q3" s="130"/>
      <x:c r="R3" s="130"/>
      <x:c r="S3" s="130"/>
      <x:c r="T3" s="130"/>
      <x:c r="U3" s="130"/>
      <x:c r="V3" s="130"/>
      <x:c r="W3" s="130"/>
      <x:c r="X3" s="130"/>
      <x:c r="Y3" s="130"/>
      <x:c r="Z3" s="130"/>
      <x:c r="AA3" s="130"/>
      <x:c r="AB3" s="130"/>
      <x:c r="AC3" s="130"/>
      <x:c r="AD3" s="130"/>
      <x:c r="AE3" s="130"/>
      <x:c r="AF3" s="130"/>
      <x:c r="AG3" s="130"/>
      <x:c r="AH3" s="130"/>
      <x:c r="AI3" s="130"/>
      <x:c r="AJ3" s="130"/>
      <x:c r="AK3" s="130"/>
      <x:c r="AL3" s="130"/>
      <x:c r="AM3" s="130"/>
      <x:c r="AN3" s="130"/>
      <x:c r="AO3" s="130"/>
      <x:c r="AP3" s="130"/>
      <x:c r="AQ3" s="130"/>
      <x:c r="AR3" s="130"/>
      <x:c r="AS3" s="130"/>
      <x:c r="AT3" s="130"/>
      <x:c r="AU3" s="130"/>
      <x:c r="AV3" s="130"/>
      <x:c r="AW3" s="130"/>
      <x:c r="AX3" s="130"/>
      <x:c r="AY3" s="130"/>
      <x:c r="AZ3" s="130"/>
    </x:row>
    <x:row r="4">
      <x:c r="A4" s="32" t="str">
        <x:v>Step</x:v>
      </x:c>
      <x:c r="B4" s="32" t="str">
        <x:v>Action</x:v>
      </x:c>
      <x:c r="C4" s="32" t="str">
        <x:v>Purpose / output</x:v>
      </x:c>
      <x:c r="D4" s="130"/>
      <x:c r="E4" s="19" t="str">
        <x:v>Recommended dashboard text</x:v>
      </x:c>
      <x:c r="F4" s="19"/>
      <x:c r="G4" s="19"/>
      <x:c r="H4" s="19"/>
      <x:c r="I4" s="130"/>
      <x:c r="J4" s="130"/>
      <x:c r="K4" s="130"/>
      <x:c r="L4" s="130"/>
      <x:c r="M4" s="130"/>
      <x:c r="N4" s="130"/>
      <x:c r="O4" s="130"/>
      <x:c r="P4" s="130"/>
      <x:c r="Q4" s="130"/>
      <x:c r="R4" s="130"/>
      <x:c r="S4" s="130"/>
      <x:c r="T4" s="130"/>
      <x:c r="U4" s="130"/>
      <x:c r="V4" s="130"/>
      <x:c r="W4" s="130"/>
      <x:c r="X4" s="130"/>
      <x:c r="Y4" s="130"/>
      <x:c r="Z4" s="130"/>
      <x:c r="AA4" s="130"/>
      <x:c r="AB4" s="130"/>
      <x:c r="AC4" s="130"/>
      <x:c r="AD4" s="130"/>
      <x:c r="AE4" s="130"/>
      <x:c r="AF4" s="130"/>
      <x:c r="AG4" s="130"/>
      <x:c r="AH4" s="130"/>
      <x:c r="AI4" s="130"/>
      <x:c r="AJ4" s="130"/>
      <x:c r="AK4" s="130"/>
      <x:c r="AL4" s="130"/>
      <x:c r="AM4" s="130"/>
      <x:c r="AN4" s="130"/>
      <x:c r="AO4" s="130"/>
      <x:c r="AP4" s="130"/>
      <x:c r="AQ4" s="130"/>
      <x:c r="AR4" s="130"/>
      <x:c r="AS4" s="130"/>
      <x:c r="AT4" s="130"/>
      <x:c r="AU4" s="130"/>
      <x:c r="AV4" s="130"/>
      <x:c r="AW4" s="130"/>
      <x:c r="AX4" s="130"/>
      <x:c r="AY4" s="130"/>
      <x:c r="AZ4" s="130"/>
    </x:row>
    <x:row r="5">
      <x:c r="A5" s="131" t="str">
        <x:v>1</x:v>
      </x:c>
      <x:c r="B5" s="131" t="str">
        <x:v>Open this workbook in Excel, allow calculation, and save it once.</x:v>
      </x:c>
      <x:c r="C5" s="131" t="str">
        <x:v>Refreshes all formula values before Tableau reads the file.</x:v>
      </x:c>
      <x:c r="D5" s="130"/>
      <x:c r="E5" s="170" t="str">
        <x:v>Interactive teaching prototype
Question: Which plant and temporary-power strategy can reduce construction-site operational carbon without compromising safety, productivity, cost or programme delivery?
Important: The dashboard supports professional judgement. It does not replace it.</x:v>
      </x:c>
      <x:c r="F5" s="170"/>
      <x:c r="G5" s="170"/>
      <x:c r="H5" s="170"/>
      <x:c r="I5" s="130"/>
      <x:c r="J5" s="130"/>
      <x:c r="K5" s="130"/>
      <x:c r="L5" s="130"/>
      <x:c r="M5" s="130"/>
      <x:c r="N5" s="130"/>
      <x:c r="O5" s="130"/>
      <x:c r="P5" s="130"/>
      <x:c r="Q5" s="130"/>
      <x:c r="R5" s="130"/>
      <x:c r="S5" s="130"/>
      <x:c r="T5" s="130"/>
      <x:c r="U5" s="130"/>
      <x:c r="V5" s="130"/>
      <x:c r="W5" s="130"/>
      <x:c r="X5" s="130"/>
      <x:c r="Y5" s="130"/>
      <x:c r="Z5" s="130"/>
      <x:c r="AA5" s="130"/>
      <x:c r="AB5" s="130"/>
      <x:c r="AC5" s="130"/>
      <x:c r="AD5" s="130"/>
      <x:c r="AE5" s="130"/>
      <x:c r="AF5" s="130"/>
      <x:c r="AG5" s="130"/>
      <x:c r="AH5" s="130"/>
      <x:c r="AI5" s="130"/>
      <x:c r="AJ5" s="130"/>
      <x:c r="AK5" s="130"/>
      <x:c r="AL5" s="130"/>
      <x:c r="AM5" s="130"/>
      <x:c r="AN5" s="130"/>
      <x:c r="AO5" s="130"/>
      <x:c r="AP5" s="130"/>
      <x:c r="AQ5" s="130"/>
      <x:c r="AR5" s="130"/>
      <x:c r="AS5" s="130"/>
      <x:c r="AT5" s="130"/>
      <x:c r="AU5" s="130"/>
      <x:c r="AV5" s="130"/>
      <x:c r="AW5" s="130"/>
      <x:c r="AX5" s="130"/>
      <x:c r="AY5" s="130"/>
      <x:c r="AZ5" s="130"/>
    </x:row>
    <x:row r="6">
      <x:c r="A6" s="131" t="str">
        <x:v>2</x:v>
      </x:c>
      <x:c r="B6" s="131" t="str">
        <x:v>In Tableau Desktop, connect to Microsoft Excel and select this workbook.</x:v>
      </x:c>
      <x:c r="C6" s="131" t="str">
        <x:v>Creates the data connection.</x:v>
      </x:c>
      <x:c r="D6" s="130"/>
      <x:c r="E6" s="170"/>
      <x:c r="F6" s="170"/>
      <x:c r="G6" s="170"/>
      <x:c r="H6" s="170"/>
      <x:c r="I6" s="130"/>
      <x:c r="J6" s="130"/>
      <x:c r="K6" s="130"/>
      <x:c r="L6" s="130"/>
      <x:c r="M6" s="130"/>
      <x:c r="N6" s="130"/>
      <x:c r="O6" s="130"/>
      <x:c r="P6" s="130"/>
      <x:c r="Q6" s="130"/>
      <x:c r="R6" s="130"/>
      <x:c r="S6" s="130"/>
      <x:c r="T6" s="130"/>
      <x:c r="U6" s="130"/>
      <x:c r="V6" s="130"/>
      <x:c r="W6" s="130"/>
      <x:c r="X6" s="130"/>
      <x:c r="Y6" s="130"/>
      <x:c r="Z6" s="130"/>
      <x:c r="AA6" s="130"/>
      <x:c r="AB6" s="130"/>
      <x:c r="AC6" s="130"/>
      <x:c r="AD6" s="130"/>
      <x:c r="AE6" s="130"/>
      <x:c r="AF6" s="130"/>
      <x:c r="AG6" s="130"/>
      <x:c r="AH6" s="130"/>
      <x:c r="AI6" s="130"/>
      <x:c r="AJ6" s="130"/>
      <x:c r="AK6" s="130"/>
      <x:c r="AL6" s="130"/>
      <x:c r="AM6" s="130"/>
      <x:c r="AN6" s="130"/>
      <x:c r="AO6" s="130"/>
      <x:c r="AP6" s="130"/>
      <x:c r="AQ6" s="130"/>
      <x:c r="AR6" s="130"/>
      <x:c r="AS6" s="130"/>
      <x:c r="AT6" s="130"/>
      <x:c r="AU6" s="130"/>
      <x:c r="AV6" s="130"/>
      <x:c r="AW6" s="130"/>
      <x:c r="AX6" s="130"/>
      <x:c r="AY6" s="130"/>
      <x:c r="AZ6" s="130"/>
    </x:row>
    <x:row r="7">
      <x:c r="A7" s="131" t="str">
        <x:v>3</x:v>
      </x:c>
      <x:c r="B7" s="131" t="str">
        <x:v>Drag the Tableau_Wide sheet to the data canvas.</x:v>
      </x:c>
      <x:c r="C7" s="131" t="str">
        <x:v>Uses the curated 16-row table.</x:v>
      </x:c>
      <x:c r="D7" s="130"/>
      <x:c r="E7" s="170"/>
      <x:c r="F7" s="170"/>
      <x:c r="G7" s="170"/>
      <x:c r="H7" s="170"/>
      <x:c r="I7" s="130"/>
      <x:c r="J7" s="130"/>
      <x:c r="K7" s="130"/>
      <x:c r="L7" s="130"/>
      <x:c r="M7" s="130"/>
      <x:c r="N7" s="130"/>
      <x:c r="O7" s="130"/>
      <x:c r="P7" s="130"/>
      <x:c r="Q7" s="130"/>
      <x:c r="R7" s="130"/>
      <x:c r="S7" s="130"/>
      <x:c r="T7" s="130"/>
      <x:c r="U7" s="130"/>
      <x:c r="V7" s="130"/>
      <x:c r="W7" s="130"/>
      <x:c r="X7" s="130"/>
      <x:c r="Y7" s="130"/>
      <x:c r="Z7" s="130"/>
      <x:c r="AA7" s="130"/>
      <x:c r="AB7" s="130"/>
      <x:c r="AC7" s="130"/>
      <x:c r="AD7" s="130"/>
      <x:c r="AE7" s="130"/>
      <x:c r="AF7" s="130"/>
      <x:c r="AG7" s="130"/>
      <x:c r="AH7" s="130"/>
      <x:c r="AI7" s="130"/>
      <x:c r="AJ7" s="130"/>
      <x:c r="AK7" s="130"/>
      <x:c r="AL7" s="130"/>
      <x:c r="AM7" s="130"/>
      <x:c r="AN7" s="130"/>
      <x:c r="AO7" s="130"/>
      <x:c r="AP7" s="130"/>
      <x:c r="AQ7" s="130"/>
      <x:c r="AR7" s="130"/>
      <x:c r="AS7" s="130"/>
      <x:c r="AT7" s="130"/>
      <x:c r="AU7" s="130"/>
      <x:c r="AV7" s="130"/>
      <x:c r="AW7" s="130"/>
      <x:c r="AX7" s="130"/>
      <x:c r="AY7" s="130"/>
      <x:c r="AZ7" s="130"/>
    </x:row>
    <x:row r="8">
      <x:c r="A8" s="131" t="str">
        <x:v>4</x:v>
      </x:c>
      <x:c r="B8" s="131" t="str">
        <x:v>Create a filter using Site_Context and show it on the dashboard.</x:v>
      </x:c>
      <x:c r="C8" s="131" t="str">
        <x:v>Lets apprentices switch among four workplace contexts.</x:v>
      </x:c>
      <x:c r="D8" s="130"/>
      <x:c r="E8" s="170"/>
      <x:c r="F8" s="170"/>
      <x:c r="G8" s="170"/>
      <x:c r="H8" s="170"/>
      <x:c r="I8" s="130"/>
      <x:c r="J8" s="130"/>
      <x:c r="K8" s="130"/>
      <x:c r="L8" s="130"/>
      <x:c r="M8" s="130"/>
      <x:c r="N8" s="130"/>
      <x:c r="O8" s="130"/>
      <x:c r="P8" s="130"/>
      <x:c r="Q8" s="130"/>
      <x:c r="R8" s="130"/>
      <x:c r="S8" s="130"/>
      <x:c r="T8" s="130"/>
      <x:c r="U8" s="130"/>
      <x:c r="V8" s="130"/>
      <x:c r="W8" s="130"/>
      <x:c r="X8" s="130"/>
      <x:c r="Y8" s="130"/>
      <x:c r="Z8" s="130"/>
      <x:c r="AA8" s="130"/>
      <x:c r="AB8" s="130"/>
      <x:c r="AC8" s="130"/>
      <x:c r="AD8" s="130"/>
      <x:c r="AE8" s="130"/>
      <x:c r="AF8" s="130"/>
      <x:c r="AG8" s="130"/>
      <x:c r="AH8" s="130"/>
      <x:c r="AI8" s="130"/>
      <x:c r="AJ8" s="130"/>
      <x:c r="AK8" s="130"/>
      <x:c r="AL8" s="130"/>
      <x:c r="AM8" s="130"/>
      <x:c r="AN8" s="130"/>
      <x:c r="AO8" s="130"/>
      <x:c r="AP8" s="130"/>
      <x:c r="AQ8" s="130"/>
      <x:c r="AR8" s="130"/>
      <x:c r="AS8" s="130"/>
      <x:c r="AT8" s="130"/>
      <x:c r="AU8" s="130"/>
      <x:c r="AV8" s="130"/>
      <x:c r="AW8" s="130"/>
      <x:c r="AX8" s="130"/>
      <x:c r="AY8" s="130"/>
      <x:c r="AZ8" s="130"/>
    </x:row>
    <x:row r="9">
      <x:c r="A9" s="131" t="str">
        <x:v>5</x:v>
      </x:c>
      <x:c r="B9" s="131" t="str">
        <x:v>Worksheet: CO₂e by strategy. Columns = Strategy; Rows = Operational_CO2e_kg; Marks = Bar.</x:v>
      </x:c>
      <x:c r="C9" s="131" t="str">
        <x:v>Main carbon comparison.</x:v>
      </x:c>
      <x:c r="D9" s="130"/>
      <x:c r="E9" s="170"/>
      <x:c r="F9" s="170"/>
      <x:c r="G9" s="170"/>
      <x:c r="H9" s="170"/>
      <x:c r="I9" s="130"/>
      <x:c r="J9" s="130"/>
      <x:c r="K9" s="130"/>
      <x:c r="L9" s="130"/>
      <x:c r="M9" s="130"/>
      <x:c r="N9" s="130"/>
      <x:c r="O9" s="130"/>
      <x:c r="P9" s="130"/>
      <x:c r="Q9" s="130"/>
      <x:c r="R9" s="130"/>
      <x:c r="S9" s="130"/>
      <x:c r="T9" s="130"/>
      <x:c r="U9" s="130"/>
      <x:c r="V9" s="130"/>
      <x:c r="W9" s="130"/>
      <x:c r="X9" s="130"/>
      <x:c r="Y9" s="130"/>
      <x:c r="Z9" s="130"/>
      <x:c r="AA9" s="130"/>
      <x:c r="AB9" s="130"/>
      <x:c r="AC9" s="130"/>
      <x:c r="AD9" s="130"/>
      <x:c r="AE9" s="130"/>
      <x:c r="AF9" s="130"/>
      <x:c r="AG9" s="130"/>
      <x:c r="AH9" s="130"/>
      <x:c r="AI9" s="130"/>
      <x:c r="AJ9" s="130"/>
      <x:c r="AK9" s="130"/>
      <x:c r="AL9" s="130"/>
      <x:c r="AM9" s="130"/>
      <x:c r="AN9" s="130"/>
      <x:c r="AO9" s="130"/>
      <x:c r="AP9" s="130"/>
      <x:c r="AQ9" s="130"/>
      <x:c r="AR9" s="130"/>
      <x:c r="AS9" s="130"/>
      <x:c r="AT9" s="130"/>
      <x:c r="AU9" s="130"/>
      <x:c r="AV9" s="130"/>
      <x:c r="AW9" s="130"/>
      <x:c r="AX9" s="130"/>
      <x:c r="AY9" s="130"/>
      <x:c r="AZ9" s="130"/>
    </x:row>
    <x:row r="10">
      <x:c r="A10" s="131" t="str">
        <x:v>6</x:v>
      </x:c>
      <x:c r="B10" s="131" t="str">
        <x:v>Worksheet: Carbon reduction KPI. Use Carbon_Reduction_vs_Baseline and filter out the baseline if desired.</x:v>
      </x:c>
      <x:c r="C10" s="131" t="str">
        <x:v>Shows percentage improvement from conventional diesel.</x:v>
      </x:c>
      <x:c r="D10" s="130"/>
      <x:c r="E10" s="170"/>
      <x:c r="F10" s="170"/>
      <x:c r="G10" s="170"/>
      <x:c r="H10" s="170"/>
      <x:c r="I10" s="130"/>
      <x:c r="J10" s="130"/>
      <x:c r="K10" s="130"/>
      <x:c r="L10" s="130"/>
      <x:c r="M10" s="130"/>
      <x:c r="N10" s="130"/>
      <x:c r="O10" s="130"/>
      <x:c r="P10" s="130"/>
      <x:c r="Q10" s="130"/>
      <x:c r="R10" s="130"/>
      <x:c r="S10" s="130"/>
      <x:c r="T10" s="130"/>
      <x:c r="U10" s="130"/>
      <x:c r="V10" s="130"/>
      <x:c r="W10" s="130"/>
      <x:c r="X10" s="130"/>
      <x:c r="Y10" s="130"/>
      <x:c r="Z10" s="130"/>
      <x:c r="AA10" s="130"/>
      <x:c r="AB10" s="130"/>
      <x:c r="AC10" s="130"/>
      <x:c r="AD10" s="130"/>
      <x:c r="AE10" s="130"/>
      <x:c r="AF10" s="130"/>
      <x:c r="AG10" s="130"/>
      <x:c r="AH10" s="130"/>
      <x:c r="AI10" s="130"/>
      <x:c r="AJ10" s="130"/>
      <x:c r="AK10" s="130"/>
      <x:c r="AL10" s="130"/>
      <x:c r="AM10" s="130"/>
      <x:c r="AN10" s="130"/>
      <x:c r="AO10" s="130"/>
      <x:c r="AP10" s="130"/>
      <x:c r="AQ10" s="130"/>
      <x:c r="AR10" s="130"/>
      <x:c r="AS10" s="130"/>
      <x:c r="AT10" s="130"/>
      <x:c r="AU10" s="130"/>
      <x:c r="AV10" s="130"/>
      <x:c r="AW10" s="130"/>
      <x:c r="AX10" s="130"/>
      <x:c r="AY10" s="130"/>
      <x:c r="AZ10" s="130"/>
    </x:row>
    <x:row r="11">
      <x:c r="A11" s="131" t="str">
        <x:v>7</x:v>
      </x:c>
      <x:c r="B11" s="131" t="str">
        <x:v>Worksheet: Cost comparison. Columns = Strategy; Rows = Total_Cost_GBP.</x:v>
      </x:c>
      <x:c r="C11" s="131" t="str">
        <x:v>Makes the carbon–cost trade-off visible.</x:v>
      </x:c>
      <x:c r="D11" s="130"/>
      <x:c r="E11" s="170"/>
      <x:c r="F11" s="170"/>
      <x:c r="G11" s="170"/>
      <x:c r="H11" s="170"/>
      <x:c r="I11" s="130"/>
      <x:c r="J11" s="130"/>
      <x:c r="K11" s="130"/>
      <x:c r="L11" s="130"/>
      <x:c r="M11" s="130"/>
      <x:c r="N11" s="130"/>
      <x:c r="O11" s="130"/>
      <x:c r="P11" s="130"/>
      <x:c r="Q11" s="130"/>
      <x:c r="R11" s="130"/>
      <x:c r="S11" s="130"/>
      <x:c r="T11" s="130"/>
      <x:c r="U11" s="130"/>
      <x:c r="V11" s="130"/>
      <x:c r="W11" s="130"/>
      <x:c r="X11" s="130"/>
      <x:c r="Y11" s="130"/>
      <x:c r="Z11" s="130"/>
      <x:c r="AA11" s="130"/>
      <x:c r="AB11" s="130"/>
      <x:c r="AC11" s="130"/>
      <x:c r="AD11" s="130"/>
      <x:c r="AE11" s="130"/>
      <x:c r="AF11" s="130"/>
      <x:c r="AG11" s="130"/>
      <x:c r="AH11" s="130"/>
      <x:c r="AI11" s="130"/>
      <x:c r="AJ11" s="130"/>
      <x:c r="AK11" s="130"/>
      <x:c r="AL11" s="130"/>
      <x:c r="AM11" s="130"/>
      <x:c r="AN11" s="130"/>
      <x:c r="AO11" s="130"/>
      <x:c r="AP11" s="130"/>
      <x:c r="AQ11" s="130"/>
      <x:c r="AR11" s="130"/>
      <x:c r="AS11" s="130"/>
      <x:c r="AT11" s="130"/>
      <x:c r="AU11" s="130"/>
      <x:c r="AV11" s="130"/>
      <x:c r="AW11" s="130"/>
      <x:c r="AX11" s="130"/>
      <x:c r="AY11" s="130"/>
      <x:c r="AZ11" s="130"/>
    </x:row>
    <x:row r="12">
      <x:c r="A12" s="131" t="str">
        <x:v>8</x:v>
      </x:c>
      <x:c r="B12" s="131" t="str">
        <x:v>Worksheet: Carbon versus cost. X = Total_Cost_GBP; Y = Operational_CO2e_kg; Detail = Strategy; Size = Productivity_Index.</x:v>
      </x:c>
      <x:c r="C12" s="131" t="str">
        <x:v>Shows that one option may improve carbon but introduce cost or productivity trade-offs.</x:v>
      </x:c>
      <x:c r="D12" s="130"/>
      <x:c r="E12" s="130"/>
      <x:c r="F12" s="130"/>
      <x:c r="G12" s="130"/>
      <x:c r="H12" s="130"/>
      <x:c r="I12" s="130"/>
      <x:c r="J12" s="130"/>
      <x:c r="K12" s="130"/>
      <x:c r="L12" s="130"/>
      <x:c r="M12" s="130"/>
      <x:c r="N12" s="130"/>
      <x:c r="O12" s="130"/>
      <x:c r="P12" s="130"/>
      <x:c r="Q12" s="130"/>
      <x:c r="R12" s="130"/>
      <x:c r="S12" s="130"/>
      <x:c r="T12" s="130"/>
      <x:c r="U12" s="130"/>
      <x:c r="V12" s="130"/>
      <x:c r="W12" s="130"/>
      <x:c r="X12" s="130"/>
      <x:c r="Y12" s="130"/>
      <x:c r="Z12" s="130"/>
      <x:c r="AA12" s="130"/>
      <x:c r="AB12" s="130"/>
      <x:c r="AC12" s="130"/>
      <x:c r="AD12" s="130"/>
      <x:c r="AE12" s="130"/>
      <x:c r="AF12" s="130"/>
      <x:c r="AG12" s="130"/>
      <x:c r="AH12" s="130"/>
      <x:c r="AI12" s="130"/>
      <x:c r="AJ12" s="130"/>
      <x:c r="AK12" s="130"/>
      <x:c r="AL12" s="130"/>
      <x:c r="AM12" s="130"/>
      <x:c r="AN12" s="130"/>
      <x:c r="AO12" s="130"/>
      <x:c r="AP12" s="130"/>
      <x:c r="AQ12" s="130"/>
      <x:c r="AR12" s="130"/>
      <x:c r="AS12" s="130"/>
      <x:c r="AT12" s="130"/>
      <x:c r="AU12" s="130"/>
      <x:c r="AV12" s="130"/>
      <x:c r="AW12" s="130"/>
      <x:c r="AX12" s="130"/>
      <x:c r="AY12" s="130"/>
      <x:c r="AZ12" s="130"/>
    </x:row>
    <x:row r="13">
      <x:c r="A13" s="131" t="str">
        <x:v>9</x:v>
      </x:c>
      <x:c r="B13" s="131" t="str">
        <x:v>Worksheet: Co-benefits. Use Air_Quality_Benefit_Index, Noise_Benefit_Index and Expected_Downtime_h_per_day.</x:v>
      </x:c>
      <x:c r="C13" s="131" t="str">
        <x:v>Keeps air quality and noise as secondary benefits.</x:v>
      </x:c>
      <x:c r="D13" s="130"/>
      <x:c r="E13" s="19" t="str">
        <x:v>Suggested public-dashboard disclaimer</x:v>
      </x:c>
      <x:c r="F13" s="19"/>
      <x:c r="G13" s="19"/>
      <x:c r="H13" s="19"/>
      <x:c r="I13" s="130"/>
      <x:c r="J13" s="130"/>
      <x:c r="K13" s="130"/>
      <x:c r="L13" s="130"/>
      <x:c r="M13" s="130"/>
      <x:c r="N13" s="130"/>
      <x:c r="O13" s="130"/>
      <x:c r="P13" s="130"/>
      <x:c r="Q13" s="130"/>
      <x:c r="R13" s="130"/>
      <x:c r="S13" s="130"/>
      <x:c r="T13" s="130"/>
      <x:c r="U13" s="130"/>
      <x:c r="V13" s="130"/>
      <x:c r="W13" s="130"/>
      <x:c r="X13" s="130"/>
      <x:c r="Y13" s="130"/>
      <x:c r="Z13" s="130"/>
      <x:c r="AA13" s="130"/>
      <x:c r="AB13" s="130"/>
      <x:c r="AC13" s="130"/>
      <x:c r="AD13" s="130"/>
      <x:c r="AE13" s="130"/>
      <x:c r="AF13" s="130"/>
      <x:c r="AG13" s="130"/>
      <x:c r="AH13" s="130"/>
      <x:c r="AI13" s="130"/>
      <x:c r="AJ13" s="130"/>
      <x:c r="AK13" s="130"/>
      <x:c r="AL13" s="130"/>
      <x:c r="AM13" s="130"/>
      <x:c r="AN13" s="130"/>
      <x:c r="AO13" s="130"/>
      <x:c r="AP13" s="130"/>
      <x:c r="AQ13" s="130"/>
      <x:c r="AR13" s="130"/>
      <x:c r="AS13" s="130"/>
      <x:c r="AT13" s="130"/>
      <x:c r="AU13" s="130"/>
      <x:c r="AV13" s="130"/>
      <x:c r="AW13" s="130"/>
      <x:c r="AX13" s="130"/>
      <x:c r="AY13" s="130"/>
      <x:c r="AZ13" s="130"/>
    </x:row>
    <x:row r="14">
      <x:c r="A14" s="131" t="str">
        <x:v>10</x:v>
      </x:c>
      <x:c r="B14" s="131" t="str">
        <x:v>Build a 1200 × 800 desktop dashboard with KPI cards at the top, two main charts in the centre, and co-benefits at the bottom.</x:v>
      </x:c>
      <x:c r="C14" s="131" t="str">
        <x:v>Creates the presentation screenshot.</x:v>
      </x:c>
      <x:c r="D14" s="130"/>
      <x:c r="E14" s="131" t="str">
        <x:v>This is an educational prototype for comparing construction-site scenarios. Carbon factors are based on published UK data, manufacturer specifications are cited, and project costs, fuel rates, productivity and downtime are clearly labelled teaching assumptions. The model does not include full machine or battery embodied carbon.</x:v>
      </x:c>
      <x:c r="F14" s="131"/>
      <x:c r="G14" s="131"/>
      <x:c r="H14" s="131"/>
      <x:c r="I14" s="130"/>
      <x:c r="J14" s="130"/>
      <x:c r="K14" s="130"/>
      <x:c r="L14" s="130"/>
      <x:c r="M14" s="130"/>
      <x:c r="N14" s="130"/>
      <x:c r="O14" s="130"/>
      <x:c r="P14" s="130"/>
      <x:c r="Q14" s="130"/>
      <x:c r="R14" s="130"/>
      <x:c r="S14" s="130"/>
      <x:c r="T14" s="130"/>
      <x:c r="U14" s="130"/>
      <x:c r="V14" s="130"/>
      <x:c r="W14" s="130"/>
      <x:c r="X14" s="130"/>
      <x:c r="Y14" s="130"/>
      <x:c r="Z14" s="130"/>
      <x:c r="AA14" s="130"/>
      <x:c r="AB14" s="130"/>
      <x:c r="AC14" s="130"/>
      <x:c r="AD14" s="130"/>
      <x:c r="AE14" s="130"/>
      <x:c r="AF14" s="130"/>
      <x:c r="AG14" s="130"/>
      <x:c r="AH14" s="130"/>
      <x:c r="AI14" s="130"/>
      <x:c r="AJ14" s="130"/>
      <x:c r="AK14" s="130"/>
      <x:c r="AL14" s="130"/>
      <x:c r="AM14" s="130"/>
      <x:c r="AN14" s="130"/>
      <x:c r="AO14" s="130"/>
      <x:c r="AP14" s="130"/>
      <x:c r="AQ14" s="130"/>
      <x:c r="AR14" s="130"/>
      <x:c r="AS14" s="130"/>
      <x:c r="AT14" s="130"/>
      <x:c r="AU14" s="130"/>
      <x:c r="AV14" s="130"/>
      <x:c r="AW14" s="130"/>
      <x:c r="AX14" s="130"/>
      <x:c r="AY14" s="130"/>
      <x:c r="AZ14" s="130"/>
    </x:row>
    <x:row r="15">
      <x:c r="A15" s="131" t="str">
        <x:v>11</x:v>
      </x:c>
      <x:c r="B15" s="131" t="str">
        <x:v>Create a phone layout in Device Preview.</x:v>
      </x:c>
      <x:c r="C15" s="131" t="str">
        <x:v>Makes the public dashboard readable after scanning a QR code.</x:v>
      </x:c>
      <x:c r="D15" s="130"/>
      <x:c r="E15" s="131"/>
      <x:c r="F15" s="131"/>
      <x:c r="G15" s="131"/>
      <x:c r="H15" s="131"/>
      <x:c r="I15" s="130"/>
      <x:c r="J15" s="130"/>
      <x:c r="K15" s="130"/>
      <x:c r="L15" s="130"/>
      <x:c r="M15" s="130"/>
      <x:c r="N15" s="130"/>
      <x:c r="O15" s="130"/>
      <x:c r="P15" s="130"/>
      <x:c r="Q15" s="130"/>
      <x:c r="R15" s="130"/>
      <x:c r="S15" s="130"/>
      <x:c r="T15" s="130"/>
      <x:c r="U15" s="130"/>
      <x:c r="V15" s="130"/>
      <x:c r="W15" s="130"/>
      <x:c r="X15" s="130"/>
      <x:c r="Y15" s="130"/>
      <x:c r="Z15" s="130"/>
      <x:c r="AA15" s="130"/>
      <x:c r="AB15" s="130"/>
      <x:c r="AC15" s="130"/>
      <x:c r="AD15" s="130"/>
      <x:c r="AE15" s="130"/>
      <x:c r="AF15" s="130"/>
      <x:c r="AG15" s="130"/>
      <x:c r="AH15" s="130"/>
      <x:c r="AI15" s="130"/>
      <x:c r="AJ15" s="130"/>
      <x:c r="AK15" s="130"/>
      <x:c r="AL15" s="130"/>
      <x:c r="AM15" s="130"/>
      <x:c r="AN15" s="130"/>
      <x:c r="AO15" s="130"/>
      <x:c r="AP15" s="130"/>
      <x:c r="AQ15" s="130"/>
      <x:c r="AR15" s="130"/>
      <x:c r="AS15" s="130"/>
      <x:c r="AT15" s="130"/>
      <x:c r="AU15" s="130"/>
      <x:c r="AV15" s="130"/>
      <x:c r="AW15" s="130"/>
      <x:c r="AX15" s="130"/>
      <x:c r="AY15" s="130"/>
      <x:c r="AZ15" s="130"/>
    </x:row>
    <x:row r="16">
      <x:c r="A16" s="131" t="str">
        <x:v>12</x:v>
      </x:c>
      <x:c r="B16" s="131" t="str">
        <x:v>Publish to Tableau Public using only this fictional / public teaching data.</x:v>
      </x:c>
      <x:c r="C16" s="131" t="str">
        <x:v>Creates the public URL.</x:v>
      </x:c>
      <x:c r="D16" s="130"/>
      <x:c r="E16" s="131"/>
      <x:c r="F16" s="131"/>
      <x:c r="G16" s="131"/>
      <x:c r="H16" s="131"/>
      <x:c r="I16" s="130"/>
      <x:c r="J16" s="130"/>
      <x:c r="K16" s="130"/>
      <x:c r="L16" s="130"/>
      <x:c r="M16" s="130"/>
      <x:c r="N16" s="130"/>
      <x:c r="O16" s="130"/>
      <x:c r="P16" s="130"/>
      <x:c r="Q16" s="130"/>
      <x:c r="R16" s="130"/>
      <x:c r="S16" s="130"/>
      <x:c r="T16" s="130"/>
      <x:c r="U16" s="130"/>
      <x:c r="V16" s="130"/>
      <x:c r="W16" s="130"/>
      <x:c r="X16" s="130"/>
      <x:c r="Y16" s="130"/>
      <x:c r="Z16" s="130"/>
      <x:c r="AA16" s="130"/>
      <x:c r="AB16" s="130"/>
      <x:c r="AC16" s="130"/>
      <x:c r="AD16" s="130"/>
      <x:c r="AE16" s="130"/>
      <x:c r="AF16" s="130"/>
      <x:c r="AG16" s="130"/>
      <x:c r="AH16" s="130"/>
      <x:c r="AI16" s="130"/>
      <x:c r="AJ16" s="130"/>
      <x:c r="AK16" s="130"/>
      <x:c r="AL16" s="130"/>
      <x:c r="AM16" s="130"/>
      <x:c r="AN16" s="130"/>
      <x:c r="AO16" s="130"/>
      <x:c r="AP16" s="130"/>
      <x:c r="AQ16" s="130"/>
      <x:c r="AR16" s="130"/>
      <x:c r="AS16" s="130"/>
      <x:c r="AT16" s="130"/>
      <x:c r="AU16" s="130"/>
      <x:c r="AV16" s="130"/>
      <x:c r="AW16" s="130"/>
      <x:c r="AX16" s="130"/>
      <x:c r="AY16" s="130"/>
      <x:c r="AZ16" s="130"/>
    </x:row>
    <x:row r="17">
      <x:c r="A17" s="131" t="str">
        <x:v>13</x:v>
      </x:c>
      <x:c r="B17" s="131" t="str">
        <x:v>Send the public URL back to ChatGPT.</x:v>
      </x:c>
      <x:c r="C17" s="131" t="str">
        <x:v>A QR code and final Slide 5 can then be produced.</x:v>
      </x:c>
      <x:c r="D17" s="130"/>
      <x:c r="E17" s="131"/>
      <x:c r="F17" s="131"/>
      <x:c r="G17" s="131"/>
      <x:c r="H17" s="131"/>
      <x:c r="I17" s="130"/>
      <x:c r="J17" s="130"/>
      <x:c r="K17" s="130"/>
      <x:c r="L17" s="130"/>
      <x:c r="M17" s="130"/>
      <x:c r="N17" s="130"/>
      <x:c r="O17" s="130"/>
      <x:c r="P17" s="130"/>
      <x:c r="Q17" s="130"/>
      <x:c r="R17" s="130"/>
      <x:c r="S17" s="130"/>
      <x:c r="T17" s="130"/>
      <x:c r="U17" s="130"/>
      <x:c r="V17" s="130"/>
      <x:c r="W17" s="130"/>
      <x:c r="X17" s="130"/>
      <x:c r="Y17" s="130"/>
      <x:c r="Z17" s="130"/>
      <x:c r="AA17" s="130"/>
      <x:c r="AB17" s="130"/>
      <x:c r="AC17" s="130"/>
      <x:c r="AD17" s="130"/>
      <x:c r="AE17" s="130"/>
      <x:c r="AF17" s="130"/>
      <x:c r="AG17" s="130"/>
      <x:c r="AH17" s="130"/>
      <x:c r="AI17" s="130"/>
      <x:c r="AJ17" s="130"/>
      <x:c r="AK17" s="130"/>
      <x:c r="AL17" s="130"/>
      <x:c r="AM17" s="130"/>
      <x:c r="AN17" s="130"/>
      <x:c r="AO17" s="130"/>
      <x:c r="AP17" s="130"/>
      <x:c r="AQ17" s="130"/>
      <x:c r="AR17" s="130"/>
      <x:c r="AS17" s="130"/>
      <x:c r="AT17" s="130"/>
      <x:c r="AU17" s="130"/>
      <x:c r="AV17" s="130"/>
      <x:c r="AW17" s="130"/>
      <x:c r="AX17" s="130"/>
      <x:c r="AY17" s="130"/>
      <x:c r="AZ17" s="130"/>
    </x:row>
    <x:row r="18">
      <x:c r="A18" s="130"/>
      <x:c r="B18" s="130"/>
      <x:c r="C18" s="130"/>
      <x:c r="D18" s="130"/>
      <x:c r="E18" s="131"/>
      <x:c r="F18" s="131"/>
      <x:c r="G18" s="131"/>
      <x:c r="H18" s="131"/>
      <x:c r="I18" s="130"/>
      <x:c r="J18" s="130"/>
      <x:c r="K18" s="130"/>
      <x:c r="L18" s="130"/>
      <x:c r="M18" s="130"/>
      <x:c r="N18" s="130"/>
      <x:c r="O18" s="130"/>
      <x:c r="P18" s="130"/>
      <x:c r="Q18" s="130"/>
      <x:c r="R18" s="130"/>
      <x:c r="S18" s="130"/>
      <x:c r="T18" s="130"/>
      <x:c r="U18" s="130"/>
      <x:c r="V18" s="130"/>
      <x:c r="W18" s="130"/>
      <x:c r="X18" s="130"/>
      <x:c r="Y18" s="130"/>
      <x:c r="Z18" s="130"/>
      <x:c r="AA18" s="130"/>
      <x:c r="AB18" s="130"/>
      <x:c r="AC18" s="130"/>
      <x:c r="AD18" s="130"/>
      <x:c r="AE18" s="130"/>
      <x:c r="AF18" s="130"/>
      <x:c r="AG18" s="130"/>
      <x:c r="AH18" s="130"/>
      <x:c r="AI18" s="130"/>
      <x:c r="AJ18" s="130"/>
      <x:c r="AK18" s="130"/>
      <x:c r="AL18" s="130"/>
      <x:c r="AM18" s="130"/>
      <x:c r="AN18" s="130"/>
      <x:c r="AO18" s="130"/>
      <x:c r="AP18" s="130"/>
      <x:c r="AQ18" s="130"/>
      <x:c r="AR18" s="130"/>
      <x:c r="AS18" s="130"/>
      <x:c r="AT18" s="130"/>
      <x:c r="AU18" s="130"/>
      <x:c r="AV18" s="130"/>
      <x:c r="AW18" s="130"/>
      <x:c r="AX18" s="130"/>
      <x:c r="AY18" s="130"/>
      <x:c r="AZ18" s="130"/>
    </x:row>
    <x:row r="19">
      <x:c r="A19" s="130"/>
      <x:c r="B19" s="130"/>
      <x:c r="C19" s="130"/>
      <x:c r="D19" s="130"/>
      <x:c r="E19" s="130"/>
      <x:c r="F19" s="130"/>
      <x:c r="G19" s="130"/>
      <x:c r="H19" s="130"/>
      <x:c r="I19" s="130"/>
      <x:c r="J19" s="130"/>
      <x:c r="K19" s="130"/>
      <x:c r="L19" s="130"/>
      <x:c r="M19" s="130"/>
      <x:c r="N19" s="130"/>
      <x:c r="O19" s="130"/>
      <x:c r="P19" s="130"/>
      <x:c r="Q19" s="130"/>
      <x:c r="R19" s="130"/>
      <x:c r="S19" s="130"/>
      <x:c r="T19" s="130"/>
      <x:c r="U19" s="130"/>
      <x:c r="V19" s="130"/>
      <x:c r="W19" s="130"/>
      <x:c r="X19" s="130"/>
      <x:c r="Y19" s="130"/>
      <x:c r="Z19" s="130"/>
      <x:c r="AA19" s="130"/>
      <x:c r="AB19" s="130"/>
      <x:c r="AC19" s="130"/>
      <x:c r="AD19" s="130"/>
      <x:c r="AE19" s="130"/>
      <x:c r="AF19" s="130"/>
      <x:c r="AG19" s="130"/>
      <x:c r="AH19" s="130"/>
      <x:c r="AI19" s="130"/>
      <x:c r="AJ19" s="130"/>
      <x:c r="AK19" s="130"/>
      <x:c r="AL19" s="130"/>
      <x:c r="AM19" s="130"/>
      <x:c r="AN19" s="130"/>
      <x:c r="AO19" s="130"/>
      <x:c r="AP19" s="130"/>
      <x:c r="AQ19" s="130"/>
      <x:c r="AR19" s="130"/>
      <x:c r="AS19" s="130"/>
      <x:c r="AT19" s="130"/>
      <x:c r="AU19" s="130"/>
      <x:c r="AV19" s="130"/>
      <x:c r="AW19" s="130"/>
      <x:c r="AX19" s="130"/>
      <x:c r="AY19" s="130"/>
      <x:c r="AZ19" s="130"/>
    </x:row>
    <x:row r="20">
      <x:c r="A20" s="130"/>
      <x:c r="B20" s="130"/>
      <x:c r="C20" s="130"/>
      <x:c r="D20" s="130"/>
      <x:c r="E20" s="130"/>
      <x:c r="F20" s="130"/>
      <x:c r="G20" s="130"/>
      <x:c r="H20" s="130"/>
      <x:c r="I20" s="130"/>
      <x:c r="J20" s="130"/>
      <x:c r="K20" s="130"/>
      <x:c r="L20" s="130"/>
      <x:c r="M20" s="130"/>
      <x:c r="N20" s="130"/>
      <x:c r="O20" s="130"/>
      <x:c r="P20" s="130"/>
      <x:c r="Q20" s="130"/>
      <x:c r="R20" s="130"/>
      <x:c r="S20" s="130"/>
      <x:c r="T20" s="130"/>
      <x:c r="U20" s="130"/>
      <x:c r="V20" s="130"/>
      <x:c r="W20" s="130"/>
      <x:c r="X20" s="130"/>
      <x:c r="Y20" s="130"/>
      <x:c r="Z20" s="130"/>
      <x:c r="AA20" s="130"/>
      <x:c r="AB20" s="130"/>
      <x:c r="AC20" s="130"/>
      <x:c r="AD20" s="130"/>
      <x:c r="AE20" s="130"/>
      <x:c r="AF20" s="130"/>
      <x:c r="AG20" s="130"/>
      <x:c r="AH20" s="130"/>
      <x:c r="AI20" s="130"/>
      <x:c r="AJ20" s="130"/>
      <x:c r="AK20" s="130"/>
      <x:c r="AL20" s="130"/>
      <x:c r="AM20" s="130"/>
      <x:c r="AN20" s="130"/>
      <x:c r="AO20" s="130"/>
      <x:c r="AP20" s="130"/>
      <x:c r="AQ20" s="130"/>
      <x:c r="AR20" s="130"/>
      <x:c r="AS20" s="130"/>
      <x:c r="AT20" s="130"/>
      <x:c r="AU20" s="130"/>
      <x:c r="AV20" s="130"/>
      <x:c r="AW20" s="130"/>
      <x:c r="AX20" s="130"/>
      <x:c r="AY20" s="130"/>
      <x:c r="AZ20" s="130"/>
    </x:row>
    <x:row r="21">
      <x:c r="A21" s="130"/>
      <x:c r="B21" s="130"/>
      <x:c r="C21" s="130"/>
      <x:c r="D21" s="130"/>
      <x:c r="E21" s="130"/>
      <x:c r="F21" s="130"/>
      <x:c r="G21" s="130"/>
      <x:c r="H21" s="130"/>
      <x:c r="I21" s="130"/>
      <x:c r="J21" s="130"/>
      <x:c r="K21" s="130"/>
      <x:c r="L21" s="130"/>
      <x:c r="M21" s="130"/>
      <x:c r="N21" s="130"/>
      <x:c r="O21" s="130"/>
      <x:c r="P21" s="130"/>
      <x:c r="Q21" s="130"/>
      <x:c r="R21" s="130"/>
      <x:c r="S21" s="130"/>
      <x:c r="T21" s="130"/>
      <x:c r="U21" s="130"/>
      <x:c r="V21" s="130"/>
      <x:c r="W21" s="130"/>
      <x:c r="X21" s="130"/>
      <x:c r="Y21" s="130"/>
      <x:c r="Z21" s="130"/>
      <x:c r="AA21" s="130"/>
      <x:c r="AB21" s="130"/>
      <x:c r="AC21" s="130"/>
      <x:c r="AD21" s="130"/>
      <x:c r="AE21" s="130"/>
      <x:c r="AF21" s="130"/>
      <x:c r="AG21" s="130"/>
      <x:c r="AH21" s="130"/>
      <x:c r="AI21" s="130"/>
      <x:c r="AJ21" s="130"/>
      <x:c r="AK21" s="130"/>
      <x:c r="AL21" s="130"/>
      <x:c r="AM21" s="130"/>
      <x:c r="AN21" s="130"/>
      <x:c r="AO21" s="130"/>
      <x:c r="AP21" s="130"/>
      <x:c r="AQ21" s="130"/>
      <x:c r="AR21" s="130"/>
      <x:c r="AS21" s="130"/>
      <x:c r="AT21" s="130"/>
      <x:c r="AU21" s="130"/>
      <x:c r="AV21" s="130"/>
      <x:c r="AW21" s="130"/>
      <x:c r="AX21" s="130"/>
      <x:c r="AY21" s="130"/>
      <x:c r="AZ21" s="130"/>
    </x:row>
    <x:row r="22">
      <x:c r="A22" s="130"/>
      <x:c r="B22" s="130"/>
      <x:c r="C22" s="130"/>
      <x:c r="D22" s="130"/>
      <x:c r="E22" s="130"/>
      <x:c r="F22" s="130"/>
      <x:c r="G22" s="130"/>
      <x:c r="H22" s="130"/>
      <x:c r="I22" s="130"/>
      <x:c r="J22" s="130"/>
      <x:c r="K22" s="130"/>
      <x:c r="L22" s="130"/>
      <x:c r="M22" s="130"/>
      <x:c r="N22" s="130"/>
      <x:c r="O22" s="130"/>
      <x:c r="P22" s="130"/>
      <x:c r="Q22" s="130"/>
      <x:c r="R22" s="130"/>
      <x:c r="S22" s="130"/>
      <x:c r="T22" s="130"/>
      <x:c r="U22" s="130"/>
      <x:c r="V22" s="130"/>
      <x:c r="W22" s="130"/>
      <x:c r="X22" s="130"/>
      <x:c r="Y22" s="130"/>
      <x:c r="Z22" s="130"/>
      <x:c r="AA22" s="130"/>
      <x:c r="AB22" s="130"/>
      <x:c r="AC22" s="130"/>
      <x:c r="AD22" s="130"/>
      <x:c r="AE22" s="130"/>
      <x:c r="AF22" s="130"/>
      <x:c r="AG22" s="130"/>
      <x:c r="AH22" s="130"/>
      <x:c r="AI22" s="130"/>
      <x:c r="AJ22" s="130"/>
      <x:c r="AK22" s="130"/>
      <x:c r="AL22" s="130"/>
      <x:c r="AM22" s="130"/>
      <x:c r="AN22" s="130"/>
      <x:c r="AO22" s="130"/>
      <x:c r="AP22" s="130"/>
      <x:c r="AQ22" s="130"/>
      <x:c r="AR22" s="130"/>
      <x:c r="AS22" s="130"/>
      <x:c r="AT22" s="130"/>
      <x:c r="AU22" s="130"/>
      <x:c r="AV22" s="130"/>
      <x:c r="AW22" s="130"/>
      <x:c r="AX22" s="130"/>
      <x:c r="AY22" s="130"/>
      <x:c r="AZ22" s="130"/>
    </x:row>
    <x:row r="23">
      <x:c r="A23" s="130"/>
      <x:c r="B23" s="130"/>
      <x:c r="C23" s="130"/>
      <x:c r="D23" s="130"/>
      <x:c r="E23" s="130"/>
      <x:c r="F23" s="130"/>
      <x:c r="G23" s="130"/>
      <x:c r="H23" s="130"/>
      <x:c r="I23" s="130"/>
      <x:c r="J23" s="130"/>
      <x:c r="K23" s="130"/>
      <x:c r="L23" s="130"/>
      <x:c r="M23" s="130"/>
      <x:c r="N23" s="130"/>
      <x:c r="O23" s="130"/>
      <x:c r="P23" s="130"/>
      <x:c r="Q23" s="130"/>
      <x:c r="R23" s="130"/>
      <x:c r="S23" s="130"/>
      <x:c r="T23" s="130"/>
      <x:c r="U23" s="130"/>
      <x:c r="V23" s="130"/>
      <x:c r="W23" s="130"/>
      <x:c r="X23" s="130"/>
      <x:c r="Y23" s="130"/>
      <x:c r="Z23" s="130"/>
      <x:c r="AA23" s="130"/>
      <x:c r="AB23" s="130"/>
      <x:c r="AC23" s="130"/>
      <x:c r="AD23" s="130"/>
      <x:c r="AE23" s="130"/>
      <x:c r="AF23" s="130"/>
      <x:c r="AG23" s="130"/>
      <x:c r="AH23" s="130"/>
      <x:c r="AI23" s="130"/>
      <x:c r="AJ23" s="130"/>
      <x:c r="AK23" s="130"/>
      <x:c r="AL23" s="130"/>
      <x:c r="AM23" s="130"/>
      <x:c r="AN23" s="130"/>
      <x:c r="AO23" s="130"/>
      <x:c r="AP23" s="130"/>
      <x:c r="AQ23" s="130"/>
      <x:c r="AR23" s="130"/>
      <x:c r="AS23" s="130"/>
      <x:c r="AT23" s="130"/>
      <x:c r="AU23" s="130"/>
      <x:c r="AV23" s="130"/>
      <x:c r="AW23" s="130"/>
      <x:c r="AX23" s="130"/>
      <x:c r="AY23" s="130"/>
      <x:c r="AZ23" s="130"/>
    </x:row>
    <x:row r="24">
      <x:c r="A24" s="130"/>
      <x:c r="B24" s="130"/>
      <x:c r="C24" s="130"/>
      <x:c r="D24" s="130"/>
      <x:c r="E24" s="130"/>
      <x:c r="F24" s="130"/>
      <x:c r="G24" s="130"/>
      <x:c r="H24" s="130"/>
      <x:c r="I24" s="130"/>
      <x:c r="J24" s="130"/>
      <x:c r="K24" s="130"/>
      <x:c r="L24" s="130"/>
      <x:c r="M24" s="130"/>
      <x:c r="N24" s="130"/>
      <x:c r="O24" s="130"/>
      <x:c r="P24" s="130"/>
      <x:c r="Q24" s="130"/>
      <x:c r="R24" s="130"/>
      <x:c r="S24" s="130"/>
      <x:c r="T24" s="130"/>
      <x:c r="U24" s="130"/>
      <x:c r="V24" s="130"/>
      <x:c r="W24" s="130"/>
      <x:c r="X24" s="130"/>
      <x:c r="Y24" s="130"/>
      <x:c r="Z24" s="130"/>
      <x:c r="AA24" s="130"/>
      <x:c r="AB24" s="130"/>
      <x:c r="AC24" s="130"/>
      <x:c r="AD24" s="130"/>
      <x:c r="AE24" s="130"/>
      <x:c r="AF24" s="130"/>
      <x:c r="AG24" s="130"/>
      <x:c r="AH24" s="130"/>
      <x:c r="AI24" s="130"/>
      <x:c r="AJ24" s="130"/>
      <x:c r="AK24" s="130"/>
      <x:c r="AL24" s="130"/>
      <x:c r="AM24" s="130"/>
      <x:c r="AN24" s="130"/>
      <x:c r="AO24" s="130"/>
      <x:c r="AP24" s="130"/>
      <x:c r="AQ24" s="130"/>
      <x:c r="AR24" s="130"/>
      <x:c r="AS24" s="130"/>
      <x:c r="AT24" s="130"/>
      <x:c r="AU24" s="130"/>
      <x:c r="AV24" s="130"/>
      <x:c r="AW24" s="130"/>
      <x:c r="AX24" s="130"/>
      <x:c r="AY24" s="130"/>
      <x:c r="AZ24" s="130"/>
    </x:row>
    <x:row r="25">
      <x:c r="A25" s="130"/>
      <x:c r="B25" s="130"/>
      <x:c r="C25" s="130"/>
      <x:c r="D25" s="130"/>
      <x:c r="E25" s="130"/>
      <x:c r="F25" s="130"/>
      <x:c r="G25" s="130"/>
      <x:c r="H25" s="130"/>
      <x:c r="I25" s="130"/>
      <x:c r="J25" s="130"/>
      <x:c r="K25" s="130"/>
      <x:c r="L25" s="130"/>
      <x:c r="M25" s="130"/>
      <x:c r="N25" s="130"/>
      <x:c r="O25" s="130"/>
      <x:c r="P25" s="130"/>
      <x:c r="Q25" s="130"/>
      <x:c r="R25" s="130"/>
      <x:c r="S25" s="130"/>
      <x:c r="T25" s="130"/>
      <x:c r="U25" s="130"/>
      <x:c r="V25" s="130"/>
      <x:c r="W25" s="130"/>
      <x:c r="X25" s="130"/>
      <x:c r="Y25" s="130"/>
      <x:c r="Z25" s="130"/>
      <x:c r="AA25" s="130"/>
      <x:c r="AB25" s="130"/>
      <x:c r="AC25" s="130"/>
      <x:c r="AD25" s="130"/>
      <x:c r="AE25" s="130"/>
      <x:c r="AF25" s="130"/>
      <x:c r="AG25" s="130"/>
      <x:c r="AH25" s="130"/>
      <x:c r="AI25" s="130"/>
      <x:c r="AJ25" s="130"/>
      <x:c r="AK25" s="130"/>
      <x:c r="AL25" s="130"/>
      <x:c r="AM25" s="130"/>
      <x:c r="AN25" s="130"/>
      <x:c r="AO25" s="130"/>
      <x:c r="AP25" s="130"/>
      <x:c r="AQ25" s="130"/>
      <x:c r="AR25" s="130"/>
      <x:c r="AS25" s="130"/>
      <x:c r="AT25" s="130"/>
      <x:c r="AU25" s="130"/>
      <x:c r="AV25" s="130"/>
      <x:c r="AW25" s="130"/>
      <x:c r="AX25" s="130"/>
      <x:c r="AY25" s="130"/>
      <x:c r="AZ25" s="130"/>
    </x:row>
    <x:row r="26">
      <x:c r="A26" s="130"/>
      <x:c r="B26" s="130"/>
      <x:c r="C26" s="130"/>
      <x:c r="D26" s="130"/>
      <x:c r="E26" s="130"/>
      <x:c r="F26" s="130"/>
      <x:c r="G26" s="130"/>
      <x:c r="H26" s="130"/>
      <x:c r="I26" s="130"/>
      <x:c r="J26" s="130"/>
      <x:c r="K26" s="130"/>
      <x:c r="L26" s="130"/>
      <x:c r="M26" s="130"/>
      <x:c r="N26" s="130"/>
      <x:c r="O26" s="130"/>
      <x:c r="P26" s="130"/>
      <x:c r="Q26" s="130"/>
      <x:c r="R26" s="130"/>
      <x:c r="S26" s="130"/>
      <x:c r="T26" s="130"/>
      <x:c r="U26" s="130"/>
      <x:c r="V26" s="130"/>
      <x:c r="W26" s="130"/>
      <x:c r="X26" s="130"/>
      <x:c r="Y26" s="130"/>
      <x:c r="Z26" s="130"/>
      <x:c r="AA26" s="130"/>
      <x:c r="AB26" s="130"/>
      <x:c r="AC26" s="130"/>
      <x:c r="AD26" s="130"/>
      <x:c r="AE26" s="130"/>
      <x:c r="AF26" s="130"/>
      <x:c r="AG26" s="130"/>
      <x:c r="AH26" s="130"/>
      <x:c r="AI26" s="130"/>
      <x:c r="AJ26" s="130"/>
      <x:c r="AK26" s="130"/>
      <x:c r="AL26" s="130"/>
      <x:c r="AM26" s="130"/>
      <x:c r="AN26" s="130"/>
      <x:c r="AO26" s="130"/>
      <x:c r="AP26" s="130"/>
      <x:c r="AQ26" s="130"/>
      <x:c r="AR26" s="130"/>
      <x:c r="AS26" s="130"/>
      <x:c r="AT26" s="130"/>
      <x:c r="AU26" s="130"/>
      <x:c r="AV26" s="130"/>
      <x:c r="AW26" s="130"/>
      <x:c r="AX26" s="130"/>
      <x:c r="AY26" s="130"/>
      <x:c r="AZ26" s="130"/>
    </x:row>
    <x:row r="27">
      <x:c r="A27" s="130"/>
      <x:c r="B27" s="130"/>
      <x:c r="C27" s="130"/>
      <x:c r="D27" s="130"/>
      <x:c r="E27" s="130"/>
      <x:c r="F27" s="130"/>
      <x:c r="G27" s="130"/>
      <x:c r="H27" s="130"/>
      <x:c r="I27" s="130"/>
      <x:c r="J27" s="130"/>
      <x:c r="K27" s="130"/>
      <x:c r="L27" s="130"/>
      <x:c r="M27" s="130"/>
      <x:c r="N27" s="130"/>
      <x:c r="O27" s="130"/>
      <x:c r="P27" s="130"/>
      <x:c r="Q27" s="130"/>
      <x:c r="R27" s="130"/>
      <x:c r="S27" s="130"/>
      <x:c r="T27" s="130"/>
      <x:c r="U27" s="130"/>
      <x:c r="V27" s="130"/>
      <x:c r="W27" s="130"/>
      <x:c r="X27" s="130"/>
      <x:c r="Y27" s="130"/>
      <x:c r="Z27" s="130"/>
      <x:c r="AA27" s="130"/>
      <x:c r="AB27" s="130"/>
      <x:c r="AC27" s="130"/>
      <x:c r="AD27" s="130"/>
      <x:c r="AE27" s="130"/>
      <x:c r="AF27" s="130"/>
      <x:c r="AG27" s="130"/>
      <x:c r="AH27" s="130"/>
      <x:c r="AI27" s="130"/>
      <x:c r="AJ27" s="130"/>
      <x:c r="AK27" s="130"/>
      <x:c r="AL27" s="130"/>
      <x:c r="AM27" s="130"/>
      <x:c r="AN27" s="130"/>
      <x:c r="AO27" s="130"/>
      <x:c r="AP27" s="130"/>
      <x:c r="AQ27" s="130"/>
      <x:c r="AR27" s="130"/>
      <x:c r="AS27" s="130"/>
      <x:c r="AT27" s="130"/>
      <x:c r="AU27" s="130"/>
      <x:c r="AV27" s="130"/>
      <x:c r="AW27" s="130"/>
      <x:c r="AX27" s="130"/>
      <x:c r="AY27" s="130"/>
      <x:c r="AZ27" s="130"/>
    </x:row>
    <x:row r="28">
      <x:c r="A28" s="130"/>
      <x:c r="B28" s="130"/>
      <x:c r="C28" s="130"/>
      <x:c r="D28" s="130"/>
      <x:c r="E28" s="130"/>
      <x:c r="F28" s="130"/>
      <x:c r="G28" s="130"/>
      <x:c r="H28" s="130"/>
      <x:c r="I28" s="130"/>
      <x:c r="J28" s="130"/>
      <x:c r="K28" s="130"/>
      <x:c r="L28" s="130"/>
      <x:c r="M28" s="130"/>
      <x:c r="N28" s="130"/>
      <x:c r="O28" s="130"/>
      <x:c r="P28" s="130"/>
      <x:c r="Q28" s="130"/>
      <x:c r="R28" s="130"/>
      <x:c r="S28" s="130"/>
      <x:c r="T28" s="130"/>
      <x:c r="U28" s="130"/>
      <x:c r="V28" s="130"/>
      <x:c r="W28" s="130"/>
      <x:c r="X28" s="130"/>
      <x:c r="Y28" s="130"/>
      <x:c r="Z28" s="130"/>
      <x:c r="AA28" s="130"/>
      <x:c r="AB28" s="130"/>
      <x:c r="AC28" s="130"/>
      <x:c r="AD28" s="130"/>
      <x:c r="AE28" s="130"/>
      <x:c r="AF28" s="130"/>
      <x:c r="AG28" s="130"/>
      <x:c r="AH28" s="130"/>
      <x:c r="AI28" s="130"/>
      <x:c r="AJ28" s="130"/>
      <x:c r="AK28" s="130"/>
      <x:c r="AL28" s="130"/>
      <x:c r="AM28" s="130"/>
      <x:c r="AN28" s="130"/>
      <x:c r="AO28" s="130"/>
      <x:c r="AP28" s="130"/>
      <x:c r="AQ28" s="130"/>
      <x:c r="AR28" s="130"/>
      <x:c r="AS28" s="130"/>
      <x:c r="AT28" s="130"/>
      <x:c r="AU28" s="130"/>
      <x:c r="AV28" s="130"/>
      <x:c r="AW28" s="130"/>
      <x:c r="AX28" s="130"/>
      <x:c r="AY28" s="130"/>
      <x:c r="AZ28" s="130"/>
    </x:row>
    <x:row r="29">
      <x:c r="A29" s="130"/>
      <x:c r="B29" s="130"/>
      <x:c r="C29" s="130"/>
      <x:c r="D29" s="130"/>
      <x:c r="E29" s="130"/>
      <x:c r="F29" s="130"/>
      <x:c r="G29" s="130"/>
      <x:c r="H29" s="130"/>
      <x:c r="I29" s="130"/>
      <x:c r="J29" s="130"/>
      <x:c r="K29" s="130"/>
      <x:c r="L29" s="130"/>
      <x:c r="M29" s="130"/>
      <x:c r="N29" s="130"/>
      <x:c r="O29" s="130"/>
      <x:c r="P29" s="130"/>
      <x:c r="Q29" s="130"/>
      <x:c r="R29" s="130"/>
      <x:c r="S29" s="130"/>
      <x:c r="T29" s="130"/>
      <x:c r="U29" s="130"/>
      <x:c r="V29" s="130"/>
      <x:c r="W29" s="130"/>
      <x:c r="X29" s="130"/>
      <x:c r="Y29" s="130"/>
      <x:c r="Z29" s="130"/>
      <x:c r="AA29" s="130"/>
      <x:c r="AB29" s="130"/>
      <x:c r="AC29" s="130"/>
      <x:c r="AD29" s="130"/>
      <x:c r="AE29" s="130"/>
      <x:c r="AF29" s="130"/>
      <x:c r="AG29" s="130"/>
      <x:c r="AH29" s="130"/>
      <x:c r="AI29" s="130"/>
      <x:c r="AJ29" s="130"/>
      <x:c r="AK29" s="130"/>
      <x:c r="AL29" s="130"/>
      <x:c r="AM29" s="130"/>
      <x:c r="AN29" s="130"/>
      <x:c r="AO29" s="130"/>
      <x:c r="AP29" s="130"/>
      <x:c r="AQ29" s="130"/>
      <x:c r="AR29" s="130"/>
      <x:c r="AS29" s="130"/>
      <x:c r="AT29" s="130"/>
      <x:c r="AU29" s="130"/>
      <x:c r="AV29" s="130"/>
      <x:c r="AW29" s="130"/>
      <x:c r="AX29" s="130"/>
      <x:c r="AY29" s="130"/>
      <x:c r="AZ29" s="130"/>
    </x:row>
    <x:row r="30">
      <x:c r="A30" s="130"/>
      <x:c r="B30" s="130"/>
      <x:c r="C30" s="130"/>
      <x:c r="D30" s="130"/>
      <x:c r="E30" s="130"/>
      <x:c r="F30" s="130"/>
      <x:c r="G30" s="130"/>
      <x:c r="H30" s="130"/>
      <x:c r="I30" s="130"/>
      <x:c r="J30" s="130"/>
      <x:c r="K30" s="130"/>
      <x:c r="L30" s="130"/>
      <x:c r="M30" s="130"/>
      <x:c r="N30" s="130"/>
      <x:c r="O30" s="130"/>
      <x:c r="P30" s="130"/>
      <x:c r="Q30" s="130"/>
      <x:c r="R30" s="130"/>
      <x:c r="S30" s="130"/>
      <x:c r="T30" s="130"/>
      <x:c r="U30" s="130"/>
      <x:c r="V30" s="130"/>
      <x:c r="W30" s="130"/>
      <x:c r="X30" s="130"/>
      <x:c r="Y30" s="130"/>
      <x:c r="Z30" s="130"/>
      <x:c r="AA30" s="130"/>
      <x:c r="AB30" s="130"/>
      <x:c r="AC30" s="130"/>
      <x:c r="AD30" s="130"/>
      <x:c r="AE30" s="130"/>
      <x:c r="AF30" s="130"/>
      <x:c r="AG30" s="130"/>
      <x:c r="AH30" s="130"/>
      <x:c r="AI30" s="130"/>
      <x:c r="AJ30" s="130"/>
      <x:c r="AK30" s="130"/>
      <x:c r="AL30" s="130"/>
      <x:c r="AM30" s="130"/>
      <x:c r="AN30" s="130"/>
      <x:c r="AO30" s="130"/>
      <x:c r="AP30" s="130"/>
      <x:c r="AQ30" s="130"/>
      <x:c r="AR30" s="130"/>
      <x:c r="AS30" s="130"/>
      <x:c r="AT30" s="130"/>
      <x:c r="AU30" s="130"/>
      <x:c r="AV30" s="130"/>
      <x:c r="AW30" s="130"/>
      <x:c r="AX30" s="130"/>
      <x:c r="AY30" s="130"/>
      <x:c r="AZ30" s="130"/>
    </x:row>
    <x:row r="31">
      <x:c r="A31" s="130"/>
      <x:c r="B31" s="130"/>
      <x:c r="C31" s="130"/>
      <x:c r="D31" s="130"/>
      <x:c r="E31" s="130"/>
      <x:c r="F31" s="130"/>
      <x:c r="G31" s="130"/>
      <x:c r="H31" s="130"/>
      <x:c r="I31" s="130"/>
      <x:c r="J31" s="130"/>
      <x:c r="K31" s="130"/>
      <x:c r="L31" s="130"/>
      <x:c r="M31" s="130"/>
      <x:c r="N31" s="130"/>
      <x:c r="O31" s="130"/>
      <x:c r="P31" s="130"/>
      <x:c r="Q31" s="130"/>
      <x:c r="R31" s="130"/>
      <x:c r="S31" s="130"/>
      <x:c r="T31" s="130"/>
      <x:c r="U31" s="130"/>
      <x:c r="V31" s="130"/>
      <x:c r="W31" s="130"/>
      <x:c r="X31" s="130"/>
      <x:c r="Y31" s="130"/>
      <x:c r="Z31" s="130"/>
      <x:c r="AA31" s="130"/>
      <x:c r="AB31" s="130"/>
      <x:c r="AC31" s="130"/>
      <x:c r="AD31" s="130"/>
      <x:c r="AE31" s="130"/>
      <x:c r="AF31" s="130"/>
      <x:c r="AG31" s="130"/>
      <x:c r="AH31" s="130"/>
      <x:c r="AI31" s="130"/>
      <x:c r="AJ31" s="130"/>
      <x:c r="AK31" s="130"/>
      <x:c r="AL31" s="130"/>
      <x:c r="AM31" s="130"/>
      <x:c r="AN31" s="130"/>
      <x:c r="AO31" s="130"/>
      <x:c r="AP31" s="130"/>
      <x:c r="AQ31" s="130"/>
      <x:c r="AR31" s="130"/>
      <x:c r="AS31" s="130"/>
      <x:c r="AT31" s="130"/>
      <x:c r="AU31" s="130"/>
      <x:c r="AV31" s="130"/>
      <x:c r="AW31" s="130"/>
      <x:c r="AX31" s="130"/>
      <x:c r="AY31" s="130"/>
      <x:c r="AZ31" s="130"/>
    </x:row>
    <x:row r="32">
      <x:c r="A32" s="130"/>
      <x:c r="B32" s="130"/>
      <x:c r="C32" s="130"/>
      <x:c r="D32" s="130"/>
      <x:c r="E32" s="130"/>
      <x:c r="F32" s="130"/>
      <x:c r="G32" s="130"/>
      <x:c r="H32" s="130"/>
      <x:c r="I32" s="130"/>
      <x:c r="J32" s="130"/>
      <x:c r="K32" s="130"/>
      <x:c r="L32" s="130"/>
      <x:c r="M32" s="130"/>
      <x:c r="N32" s="130"/>
      <x:c r="O32" s="130"/>
      <x:c r="P32" s="130"/>
      <x:c r="Q32" s="130"/>
      <x:c r="R32" s="130"/>
      <x:c r="S32" s="130"/>
      <x:c r="T32" s="130"/>
      <x:c r="U32" s="130"/>
      <x:c r="V32" s="130"/>
      <x:c r="W32" s="130"/>
      <x:c r="X32" s="130"/>
      <x:c r="Y32" s="130"/>
      <x:c r="Z32" s="130"/>
      <x:c r="AA32" s="130"/>
      <x:c r="AB32" s="130"/>
      <x:c r="AC32" s="130"/>
      <x:c r="AD32" s="130"/>
      <x:c r="AE32" s="130"/>
      <x:c r="AF32" s="130"/>
      <x:c r="AG32" s="130"/>
      <x:c r="AH32" s="130"/>
      <x:c r="AI32" s="130"/>
      <x:c r="AJ32" s="130"/>
      <x:c r="AK32" s="130"/>
      <x:c r="AL32" s="130"/>
      <x:c r="AM32" s="130"/>
      <x:c r="AN32" s="130"/>
      <x:c r="AO32" s="130"/>
      <x:c r="AP32" s="130"/>
      <x:c r="AQ32" s="130"/>
      <x:c r="AR32" s="130"/>
      <x:c r="AS32" s="130"/>
      <x:c r="AT32" s="130"/>
      <x:c r="AU32" s="130"/>
      <x:c r="AV32" s="130"/>
      <x:c r="AW32" s="130"/>
      <x:c r="AX32" s="130"/>
      <x:c r="AY32" s="130"/>
      <x:c r="AZ32" s="130"/>
    </x:row>
    <x:row r="33">
      <x:c r="A33" s="130"/>
      <x:c r="B33" s="130"/>
      <x:c r="C33" s="130"/>
      <x:c r="D33" s="130"/>
      <x:c r="E33" s="130"/>
      <x:c r="F33" s="130"/>
      <x:c r="G33" s="130"/>
      <x:c r="H33" s="130"/>
      <x:c r="I33" s="130"/>
      <x:c r="J33" s="130"/>
      <x:c r="K33" s="130"/>
      <x:c r="L33" s="130"/>
      <x:c r="M33" s="130"/>
      <x:c r="N33" s="130"/>
      <x:c r="O33" s="130"/>
      <x:c r="P33" s="130"/>
      <x:c r="Q33" s="130"/>
      <x:c r="R33" s="130"/>
      <x:c r="S33" s="130"/>
      <x:c r="T33" s="130"/>
      <x:c r="U33" s="130"/>
      <x:c r="V33" s="130"/>
      <x:c r="W33" s="130"/>
      <x:c r="X33" s="130"/>
      <x:c r="Y33" s="130"/>
      <x:c r="Z33" s="130"/>
      <x:c r="AA33" s="130"/>
      <x:c r="AB33" s="130"/>
      <x:c r="AC33" s="130"/>
      <x:c r="AD33" s="130"/>
      <x:c r="AE33" s="130"/>
      <x:c r="AF33" s="130"/>
      <x:c r="AG33" s="130"/>
      <x:c r="AH33" s="130"/>
      <x:c r="AI33" s="130"/>
      <x:c r="AJ33" s="130"/>
      <x:c r="AK33" s="130"/>
      <x:c r="AL33" s="130"/>
      <x:c r="AM33" s="130"/>
      <x:c r="AN33" s="130"/>
      <x:c r="AO33" s="130"/>
      <x:c r="AP33" s="130"/>
      <x:c r="AQ33" s="130"/>
      <x:c r="AR33" s="130"/>
      <x:c r="AS33" s="130"/>
      <x:c r="AT33" s="130"/>
      <x:c r="AU33" s="130"/>
      <x:c r="AV33" s="130"/>
      <x:c r="AW33" s="130"/>
      <x:c r="AX33" s="130"/>
      <x:c r="AY33" s="130"/>
      <x:c r="AZ33" s="130"/>
    </x:row>
    <x:row r="34">
      <x:c r="A34" s="130"/>
      <x:c r="B34" s="130"/>
      <x:c r="C34" s="130"/>
      <x:c r="D34" s="130"/>
      <x:c r="E34" s="130"/>
      <x:c r="F34" s="130"/>
      <x:c r="G34" s="130"/>
      <x:c r="H34" s="130"/>
      <x:c r="I34" s="130"/>
      <x:c r="J34" s="130"/>
      <x:c r="K34" s="130"/>
      <x:c r="L34" s="130"/>
      <x:c r="M34" s="130"/>
      <x:c r="N34" s="130"/>
      <x:c r="O34" s="130"/>
      <x:c r="P34" s="130"/>
      <x:c r="Q34" s="130"/>
      <x:c r="R34" s="130"/>
      <x:c r="S34" s="130"/>
      <x:c r="T34" s="130"/>
      <x:c r="U34" s="130"/>
      <x:c r="V34" s="130"/>
      <x:c r="W34" s="130"/>
      <x:c r="X34" s="130"/>
      <x:c r="Y34" s="130"/>
      <x:c r="Z34" s="130"/>
      <x:c r="AA34" s="130"/>
      <x:c r="AB34" s="130"/>
      <x:c r="AC34" s="130"/>
      <x:c r="AD34" s="130"/>
      <x:c r="AE34" s="130"/>
      <x:c r="AF34" s="130"/>
      <x:c r="AG34" s="130"/>
      <x:c r="AH34" s="130"/>
      <x:c r="AI34" s="130"/>
      <x:c r="AJ34" s="130"/>
      <x:c r="AK34" s="130"/>
      <x:c r="AL34" s="130"/>
      <x:c r="AM34" s="130"/>
      <x:c r="AN34" s="130"/>
      <x:c r="AO34" s="130"/>
      <x:c r="AP34" s="130"/>
      <x:c r="AQ34" s="130"/>
      <x:c r="AR34" s="130"/>
      <x:c r="AS34" s="130"/>
      <x:c r="AT34" s="130"/>
      <x:c r="AU34" s="130"/>
      <x:c r="AV34" s="130"/>
      <x:c r="AW34" s="130"/>
      <x:c r="AX34" s="130"/>
      <x:c r="AY34" s="130"/>
      <x:c r="AZ34" s="130"/>
    </x:row>
    <x:row r="35">
      <x:c r="A35" s="130"/>
      <x:c r="B35" s="130"/>
      <x:c r="C35" s="130"/>
      <x:c r="D35" s="130"/>
      <x:c r="E35" s="130"/>
      <x:c r="F35" s="130"/>
      <x:c r="G35" s="130"/>
      <x:c r="H35" s="130"/>
      <x:c r="I35" s="130"/>
      <x:c r="J35" s="130"/>
      <x:c r="K35" s="130"/>
      <x:c r="L35" s="130"/>
      <x:c r="M35" s="130"/>
      <x:c r="N35" s="130"/>
      <x:c r="O35" s="130"/>
      <x:c r="P35" s="130"/>
      <x:c r="Q35" s="130"/>
      <x:c r="R35" s="130"/>
      <x:c r="S35" s="130"/>
      <x:c r="T35" s="130"/>
      <x:c r="U35" s="130"/>
      <x:c r="V35" s="130"/>
      <x:c r="W35" s="130"/>
      <x:c r="X35" s="130"/>
      <x:c r="Y35" s="130"/>
      <x:c r="Z35" s="130"/>
      <x:c r="AA35" s="130"/>
      <x:c r="AB35" s="130"/>
      <x:c r="AC35" s="130"/>
      <x:c r="AD35" s="130"/>
      <x:c r="AE35" s="130"/>
      <x:c r="AF35" s="130"/>
      <x:c r="AG35" s="130"/>
      <x:c r="AH35" s="130"/>
      <x:c r="AI35" s="130"/>
      <x:c r="AJ35" s="130"/>
      <x:c r="AK35" s="130"/>
      <x:c r="AL35" s="130"/>
      <x:c r="AM35" s="130"/>
      <x:c r="AN35" s="130"/>
      <x:c r="AO35" s="130"/>
      <x:c r="AP35" s="130"/>
      <x:c r="AQ35" s="130"/>
      <x:c r="AR35" s="130"/>
      <x:c r="AS35" s="130"/>
      <x:c r="AT35" s="130"/>
      <x:c r="AU35" s="130"/>
      <x:c r="AV35" s="130"/>
      <x:c r="AW35" s="130"/>
      <x:c r="AX35" s="130"/>
      <x:c r="AY35" s="130"/>
      <x:c r="AZ35" s="130"/>
    </x:row>
    <x:row r="36">
      <x:c r="A36" s="130"/>
      <x:c r="B36" s="130"/>
      <x:c r="C36" s="130"/>
      <x:c r="D36" s="130"/>
      <x:c r="E36" s="130"/>
      <x:c r="F36" s="130"/>
      <x:c r="G36" s="130"/>
      <x:c r="H36" s="130"/>
      <x:c r="I36" s="130"/>
      <x:c r="J36" s="130"/>
      <x:c r="K36" s="130"/>
      <x:c r="L36" s="130"/>
      <x:c r="M36" s="130"/>
      <x:c r="N36" s="130"/>
      <x:c r="O36" s="130"/>
      <x:c r="P36" s="130"/>
      <x:c r="Q36" s="130"/>
      <x:c r="R36" s="130"/>
      <x:c r="S36" s="130"/>
      <x:c r="T36" s="130"/>
      <x:c r="U36" s="130"/>
      <x:c r="V36" s="130"/>
      <x:c r="W36" s="130"/>
      <x:c r="X36" s="130"/>
      <x:c r="Y36" s="130"/>
      <x:c r="Z36" s="130"/>
      <x:c r="AA36" s="130"/>
      <x:c r="AB36" s="130"/>
      <x:c r="AC36" s="130"/>
      <x:c r="AD36" s="130"/>
      <x:c r="AE36" s="130"/>
      <x:c r="AF36" s="130"/>
      <x:c r="AG36" s="130"/>
      <x:c r="AH36" s="130"/>
      <x:c r="AI36" s="130"/>
      <x:c r="AJ36" s="130"/>
      <x:c r="AK36" s="130"/>
      <x:c r="AL36" s="130"/>
      <x:c r="AM36" s="130"/>
      <x:c r="AN36" s="130"/>
      <x:c r="AO36" s="130"/>
      <x:c r="AP36" s="130"/>
      <x:c r="AQ36" s="130"/>
      <x:c r="AR36" s="130"/>
      <x:c r="AS36" s="130"/>
      <x:c r="AT36" s="130"/>
      <x:c r="AU36" s="130"/>
      <x:c r="AV36" s="130"/>
      <x:c r="AW36" s="130"/>
      <x:c r="AX36" s="130"/>
      <x:c r="AY36" s="130"/>
      <x:c r="AZ36" s="130"/>
    </x:row>
    <x:row r="37">
      <x:c r="A37" s="130"/>
      <x:c r="B37" s="130"/>
      <x:c r="C37" s="130"/>
      <x:c r="D37" s="130"/>
      <x:c r="E37" s="130"/>
      <x:c r="F37" s="130"/>
      <x:c r="G37" s="130"/>
      <x:c r="H37" s="130"/>
      <x:c r="I37" s="130"/>
      <x:c r="J37" s="130"/>
      <x:c r="K37" s="130"/>
      <x:c r="L37" s="130"/>
      <x:c r="M37" s="130"/>
      <x:c r="N37" s="130"/>
      <x:c r="O37" s="130"/>
      <x:c r="P37" s="130"/>
      <x:c r="Q37" s="130"/>
      <x:c r="R37" s="130"/>
      <x:c r="S37" s="130"/>
      <x:c r="T37" s="130"/>
      <x:c r="U37" s="130"/>
      <x:c r="V37" s="130"/>
      <x:c r="W37" s="130"/>
      <x:c r="X37" s="130"/>
      <x:c r="Y37" s="130"/>
      <x:c r="Z37" s="130"/>
      <x:c r="AA37" s="130"/>
      <x:c r="AB37" s="130"/>
      <x:c r="AC37" s="130"/>
      <x:c r="AD37" s="130"/>
      <x:c r="AE37" s="130"/>
      <x:c r="AF37" s="130"/>
      <x:c r="AG37" s="130"/>
      <x:c r="AH37" s="130"/>
      <x:c r="AI37" s="130"/>
      <x:c r="AJ37" s="130"/>
      <x:c r="AK37" s="130"/>
      <x:c r="AL37" s="130"/>
      <x:c r="AM37" s="130"/>
      <x:c r="AN37" s="130"/>
      <x:c r="AO37" s="130"/>
      <x:c r="AP37" s="130"/>
      <x:c r="AQ37" s="130"/>
      <x:c r="AR37" s="130"/>
      <x:c r="AS37" s="130"/>
      <x:c r="AT37" s="130"/>
      <x:c r="AU37" s="130"/>
      <x:c r="AV37" s="130"/>
      <x:c r="AW37" s="130"/>
      <x:c r="AX37" s="130"/>
      <x:c r="AY37" s="130"/>
      <x:c r="AZ37" s="130"/>
    </x:row>
    <x:row r="38">
      <x:c r="A38" s="130"/>
      <x:c r="B38" s="130"/>
      <x:c r="C38" s="130"/>
      <x:c r="D38" s="130"/>
      <x:c r="E38" s="130"/>
      <x:c r="F38" s="130"/>
      <x:c r="G38" s="130"/>
      <x:c r="H38" s="130"/>
      <x:c r="I38" s="130"/>
      <x:c r="J38" s="130"/>
      <x:c r="K38" s="130"/>
      <x:c r="L38" s="130"/>
      <x:c r="M38" s="130"/>
      <x:c r="N38" s="130"/>
      <x:c r="O38" s="130"/>
      <x:c r="P38" s="130"/>
      <x:c r="Q38" s="130"/>
      <x:c r="R38" s="130"/>
      <x:c r="S38" s="130"/>
      <x:c r="T38" s="130"/>
      <x:c r="U38" s="130"/>
      <x:c r="V38" s="130"/>
      <x:c r="W38" s="130"/>
      <x:c r="X38" s="130"/>
      <x:c r="Y38" s="130"/>
      <x:c r="Z38" s="130"/>
      <x:c r="AA38" s="130"/>
      <x:c r="AB38" s="130"/>
      <x:c r="AC38" s="130"/>
      <x:c r="AD38" s="130"/>
      <x:c r="AE38" s="130"/>
      <x:c r="AF38" s="130"/>
      <x:c r="AG38" s="130"/>
      <x:c r="AH38" s="130"/>
      <x:c r="AI38" s="130"/>
      <x:c r="AJ38" s="130"/>
      <x:c r="AK38" s="130"/>
      <x:c r="AL38" s="130"/>
      <x:c r="AM38" s="130"/>
      <x:c r="AN38" s="130"/>
      <x:c r="AO38" s="130"/>
      <x:c r="AP38" s="130"/>
      <x:c r="AQ38" s="130"/>
      <x:c r="AR38" s="130"/>
      <x:c r="AS38" s="130"/>
      <x:c r="AT38" s="130"/>
      <x:c r="AU38" s="130"/>
      <x:c r="AV38" s="130"/>
      <x:c r="AW38" s="130"/>
      <x:c r="AX38" s="130"/>
      <x:c r="AY38" s="130"/>
      <x:c r="AZ38" s="130"/>
    </x:row>
    <x:row r="39">
      <x:c r="A39" s="130"/>
      <x:c r="B39" s="130"/>
      <x:c r="C39" s="130"/>
      <x:c r="D39" s="130"/>
      <x:c r="E39" s="130"/>
      <x:c r="F39" s="130"/>
      <x:c r="G39" s="130"/>
      <x:c r="H39" s="130"/>
      <x:c r="I39" s="130"/>
      <x:c r="J39" s="130"/>
      <x:c r="K39" s="130"/>
      <x:c r="L39" s="130"/>
      <x:c r="M39" s="130"/>
      <x:c r="N39" s="130"/>
      <x:c r="O39" s="130"/>
      <x:c r="P39" s="130"/>
      <x:c r="Q39" s="130"/>
      <x:c r="R39" s="130"/>
      <x:c r="S39" s="130"/>
      <x:c r="T39" s="130"/>
      <x:c r="U39" s="130"/>
      <x:c r="V39" s="130"/>
      <x:c r="W39" s="130"/>
      <x:c r="X39" s="130"/>
      <x:c r="Y39" s="130"/>
      <x:c r="Z39" s="130"/>
      <x:c r="AA39" s="130"/>
      <x:c r="AB39" s="130"/>
      <x:c r="AC39" s="130"/>
      <x:c r="AD39" s="130"/>
      <x:c r="AE39" s="130"/>
      <x:c r="AF39" s="130"/>
      <x:c r="AG39" s="130"/>
      <x:c r="AH39" s="130"/>
      <x:c r="AI39" s="130"/>
      <x:c r="AJ39" s="130"/>
      <x:c r="AK39" s="130"/>
      <x:c r="AL39" s="130"/>
      <x:c r="AM39" s="130"/>
      <x:c r="AN39" s="130"/>
      <x:c r="AO39" s="130"/>
      <x:c r="AP39" s="130"/>
      <x:c r="AQ39" s="130"/>
      <x:c r="AR39" s="130"/>
      <x:c r="AS39" s="130"/>
      <x:c r="AT39" s="130"/>
      <x:c r="AU39" s="130"/>
      <x:c r="AV39" s="130"/>
      <x:c r="AW39" s="130"/>
      <x:c r="AX39" s="130"/>
      <x:c r="AY39" s="130"/>
      <x:c r="AZ39" s="130"/>
    </x:row>
    <x:row r="40">
      <x:c r="A40" s="130"/>
      <x:c r="B40" s="130"/>
      <x:c r="C40" s="130"/>
      <x:c r="D40" s="130"/>
      <x:c r="E40" s="130"/>
      <x:c r="F40" s="130"/>
      <x:c r="G40" s="130"/>
      <x:c r="H40" s="130"/>
      <x:c r="I40" s="130"/>
      <x:c r="J40" s="130"/>
      <x:c r="K40" s="130"/>
      <x:c r="L40" s="130"/>
      <x:c r="M40" s="130"/>
      <x:c r="N40" s="130"/>
      <x:c r="O40" s="130"/>
      <x:c r="P40" s="130"/>
      <x:c r="Q40" s="130"/>
      <x:c r="R40" s="130"/>
      <x:c r="S40" s="130"/>
      <x:c r="T40" s="130"/>
      <x:c r="U40" s="130"/>
      <x:c r="V40" s="130"/>
      <x:c r="W40" s="130"/>
      <x:c r="X40" s="130"/>
      <x:c r="Y40" s="130"/>
      <x:c r="Z40" s="130"/>
      <x:c r="AA40" s="130"/>
      <x:c r="AB40" s="130"/>
      <x:c r="AC40" s="130"/>
      <x:c r="AD40" s="130"/>
      <x:c r="AE40" s="130"/>
      <x:c r="AF40" s="130"/>
      <x:c r="AG40" s="130"/>
      <x:c r="AH40" s="130"/>
      <x:c r="AI40" s="130"/>
      <x:c r="AJ40" s="130"/>
      <x:c r="AK40" s="130"/>
      <x:c r="AL40" s="130"/>
      <x:c r="AM40" s="130"/>
      <x:c r="AN40" s="130"/>
      <x:c r="AO40" s="130"/>
      <x:c r="AP40" s="130"/>
      <x:c r="AQ40" s="130"/>
      <x:c r="AR40" s="130"/>
      <x:c r="AS40" s="130"/>
      <x:c r="AT40" s="130"/>
      <x:c r="AU40" s="130"/>
      <x:c r="AV40" s="130"/>
      <x:c r="AW40" s="130"/>
      <x:c r="AX40" s="130"/>
      <x:c r="AY40" s="130"/>
      <x:c r="AZ40" s="130"/>
    </x:row>
    <x:row r="41">
      <x:c r="A41" s="130"/>
      <x:c r="B41" s="130"/>
      <x:c r="C41" s="130"/>
      <x:c r="D41" s="130"/>
      <x:c r="E41" s="130"/>
      <x:c r="F41" s="130"/>
      <x:c r="G41" s="130"/>
      <x:c r="H41" s="130"/>
      <x:c r="I41" s="130"/>
      <x:c r="J41" s="130"/>
      <x:c r="K41" s="130"/>
      <x:c r="L41" s="130"/>
      <x:c r="M41" s="130"/>
      <x:c r="N41" s="130"/>
      <x:c r="O41" s="130"/>
      <x:c r="P41" s="130"/>
      <x:c r="Q41" s="130"/>
      <x:c r="R41" s="130"/>
      <x:c r="S41" s="130"/>
      <x:c r="T41" s="130"/>
      <x:c r="U41" s="130"/>
      <x:c r="V41" s="130"/>
      <x:c r="W41" s="130"/>
      <x:c r="X41" s="130"/>
      <x:c r="Y41" s="130"/>
      <x:c r="Z41" s="130"/>
      <x:c r="AA41" s="130"/>
      <x:c r="AB41" s="130"/>
      <x:c r="AC41" s="130"/>
      <x:c r="AD41" s="130"/>
      <x:c r="AE41" s="130"/>
      <x:c r="AF41" s="130"/>
      <x:c r="AG41" s="130"/>
      <x:c r="AH41" s="130"/>
      <x:c r="AI41" s="130"/>
      <x:c r="AJ41" s="130"/>
      <x:c r="AK41" s="130"/>
      <x:c r="AL41" s="130"/>
      <x:c r="AM41" s="130"/>
      <x:c r="AN41" s="130"/>
      <x:c r="AO41" s="130"/>
      <x:c r="AP41" s="130"/>
      <x:c r="AQ41" s="130"/>
      <x:c r="AR41" s="130"/>
      <x:c r="AS41" s="130"/>
      <x:c r="AT41" s="130"/>
      <x:c r="AU41" s="130"/>
      <x:c r="AV41" s="130"/>
      <x:c r="AW41" s="130"/>
      <x:c r="AX41" s="130"/>
      <x:c r="AY41" s="130"/>
      <x:c r="AZ41" s="130"/>
    </x:row>
    <x:row r="42">
      <x:c r="A42" s="130"/>
      <x:c r="B42" s="130"/>
      <x:c r="C42" s="130"/>
      <x:c r="D42" s="130"/>
      <x:c r="E42" s="130"/>
      <x:c r="F42" s="130"/>
      <x:c r="G42" s="130"/>
      <x:c r="H42" s="130"/>
      <x:c r="I42" s="130"/>
      <x:c r="J42" s="130"/>
      <x:c r="K42" s="130"/>
      <x:c r="L42" s="130"/>
      <x:c r="M42" s="130"/>
      <x:c r="N42" s="130"/>
      <x:c r="O42" s="130"/>
      <x:c r="P42" s="130"/>
      <x:c r="Q42" s="130"/>
      <x:c r="R42" s="130"/>
      <x:c r="S42" s="130"/>
      <x:c r="T42" s="130"/>
      <x:c r="U42" s="130"/>
      <x:c r="V42" s="130"/>
      <x:c r="W42" s="130"/>
      <x:c r="X42" s="130"/>
      <x:c r="Y42" s="130"/>
      <x:c r="Z42" s="130"/>
      <x:c r="AA42" s="130"/>
      <x:c r="AB42" s="130"/>
      <x:c r="AC42" s="130"/>
      <x:c r="AD42" s="130"/>
      <x:c r="AE42" s="130"/>
      <x:c r="AF42" s="130"/>
      <x:c r="AG42" s="130"/>
      <x:c r="AH42" s="130"/>
      <x:c r="AI42" s="130"/>
      <x:c r="AJ42" s="130"/>
      <x:c r="AK42" s="130"/>
      <x:c r="AL42" s="130"/>
      <x:c r="AM42" s="130"/>
      <x:c r="AN42" s="130"/>
      <x:c r="AO42" s="130"/>
      <x:c r="AP42" s="130"/>
      <x:c r="AQ42" s="130"/>
      <x:c r="AR42" s="130"/>
      <x:c r="AS42" s="130"/>
      <x:c r="AT42" s="130"/>
      <x:c r="AU42" s="130"/>
      <x:c r="AV42" s="130"/>
      <x:c r="AW42" s="130"/>
      <x:c r="AX42" s="130"/>
      <x:c r="AY42" s="130"/>
      <x:c r="AZ42" s="130"/>
    </x:row>
    <x:row r="43">
      <x:c r="A43" s="130"/>
      <x:c r="B43" s="130"/>
      <x:c r="C43" s="130"/>
      <x:c r="D43" s="130"/>
      <x:c r="E43" s="130"/>
      <x:c r="F43" s="130"/>
      <x:c r="G43" s="130"/>
      <x:c r="H43" s="130"/>
      <x:c r="I43" s="130"/>
      <x:c r="J43" s="130"/>
      <x:c r="K43" s="130"/>
      <x:c r="L43" s="130"/>
      <x:c r="M43" s="130"/>
      <x:c r="N43" s="130"/>
      <x:c r="O43" s="130"/>
      <x:c r="P43" s="130"/>
      <x:c r="Q43" s="130"/>
      <x:c r="R43" s="130"/>
      <x:c r="S43" s="130"/>
      <x:c r="T43" s="130"/>
      <x:c r="U43" s="130"/>
      <x:c r="V43" s="130"/>
      <x:c r="W43" s="130"/>
      <x:c r="X43" s="130"/>
      <x:c r="Y43" s="130"/>
      <x:c r="Z43" s="130"/>
      <x:c r="AA43" s="130"/>
      <x:c r="AB43" s="130"/>
      <x:c r="AC43" s="130"/>
      <x:c r="AD43" s="130"/>
      <x:c r="AE43" s="130"/>
      <x:c r="AF43" s="130"/>
      <x:c r="AG43" s="130"/>
      <x:c r="AH43" s="130"/>
      <x:c r="AI43" s="130"/>
      <x:c r="AJ43" s="130"/>
      <x:c r="AK43" s="130"/>
      <x:c r="AL43" s="130"/>
      <x:c r="AM43" s="130"/>
      <x:c r="AN43" s="130"/>
      <x:c r="AO43" s="130"/>
      <x:c r="AP43" s="130"/>
      <x:c r="AQ43" s="130"/>
      <x:c r="AR43" s="130"/>
      <x:c r="AS43" s="130"/>
      <x:c r="AT43" s="130"/>
      <x:c r="AU43" s="130"/>
      <x:c r="AV43" s="130"/>
      <x:c r="AW43" s="130"/>
      <x:c r="AX43" s="130"/>
      <x:c r="AY43" s="130"/>
      <x:c r="AZ43" s="130"/>
    </x:row>
    <x:row r="44">
      <x:c r="A44" s="130"/>
      <x:c r="B44" s="130"/>
      <x:c r="C44" s="130"/>
      <x:c r="D44" s="130"/>
      <x:c r="E44" s="130"/>
      <x:c r="F44" s="130"/>
      <x:c r="G44" s="130"/>
      <x:c r="H44" s="130"/>
      <x:c r="I44" s="130"/>
      <x:c r="J44" s="130"/>
      <x:c r="K44" s="130"/>
      <x:c r="L44" s="130"/>
      <x:c r="M44" s="130"/>
      <x:c r="N44" s="130"/>
      <x:c r="O44" s="130"/>
      <x:c r="P44" s="130"/>
      <x:c r="Q44" s="130"/>
      <x:c r="R44" s="130"/>
      <x:c r="S44" s="130"/>
      <x:c r="T44" s="130"/>
      <x:c r="U44" s="130"/>
      <x:c r="V44" s="130"/>
      <x:c r="W44" s="130"/>
      <x:c r="X44" s="130"/>
      <x:c r="Y44" s="130"/>
      <x:c r="Z44" s="130"/>
      <x:c r="AA44" s="130"/>
      <x:c r="AB44" s="130"/>
      <x:c r="AC44" s="130"/>
      <x:c r="AD44" s="130"/>
      <x:c r="AE44" s="130"/>
      <x:c r="AF44" s="130"/>
      <x:c r="AG44" s="130"/>
      <x:c r="AH44" s="130"/>
      <x:c r="AI44" s="130"/>
      <x:c r="AJ44" s="130"/>
      <x:c r="AK44" s="130"/>
      <x:c r="AL44" s="130"/>
      <x:c r="AM44" s="130"/>
      <x:c r="AN44" s="130"/>
      <x:c r="AO44" s="130"/>
      <x:c r="AP44" s="130"/>
      <x:c r="AQ44" s="130"/>
      <x:c r="AR44" s="130"/>
      <x:c r="AS44" s="130"/>
      <x:c r="AT44" s="130"/>
      <x:c r="AU44" s="130"/>
      <x:c r="AV44" s="130"/>
      <x:c r="AW44" s="130"/>
      <x:c r="AX44" s="130"/>
      <x:c r="AY44" s="130"/>
      <x:c r="AZ44" s="130"/>
    </x:row>
    <x:row r="45">
      <x:c r="A45" s="130"/>
      <x:c r="B45" s="130"/>
      <x:c r="C45" s="130"/>
      <x:c r="D45" s="130"/>
      <x:c r="E45" s="130"/>
      <x:c r="F45" s="130"/>
      <x:c r="G45" s="130"/>
      <x:c r="H45" s="130"/>
      <x:c r="I45" s="130"/>
      <x:c r="J45" s="130"/>
      <x:c r="K45" s="130"/>
      <x:c r="L45" s="130"/>
      <x:c r="M45" s="130"/>
      <x:c r="N45" s="130"/>
      <x:c r="O45" s="130"/>
      <x:c r="P45" s="130"/>
      <x:c r="Q45" s="130"/>
      <x:c r="R45" s="130"/>
      <x:c r="S45" s="130"/>
      <x:c r="T45" s="130"/>
      <x:c r="U45" s="130"/>
      <x:c r="V45" s="130"/>
      <x:c r="W45" s="130"/>
      <x:c r="X45" s="130"/>
      <x:c r="Y45" s="130"/>
      <x:c r="Z45" s="130"/>
      <x:c r="AA45" s="130"/>
      <x:c r="AB45" s="130"/>
      <x:c r="AC45" s="130"/>
      <x:c r="AD45" s="130"/>
      <x:c r="AE45" s="130"/>
      <x:c r="AF45" s="130"/>
      <x:c r="AG45" s="130"/>
      <x:c r="AH45" s="130"/>
      <x:c r="AI45" s="130"/>
      <x:c r="AJ45" s="130"/>
      <x:c r="AK45" s="130"/>
      <x:c r="AL45" s="130"/>
      <x:c r="AM45" s="130"/>
      <x:c r="AN45" s="130"/>
      <x:c r="AO45" s="130"/>
      <x:c r="AP45" s="130"/>
      <x:c r="AQ45" s="130"/>
      <x:c r="AR45" s="130"/>
      <x:c r="AS45" s="130"/>
      <x:c r="AT45" s="130"/>
      <x:c r="AU45" s="130"/>
      <x:c r="AV45" s="130"/>
      <x:c r="AW45" s="130"/>
      <x:c r="AX45" s="130"/>
      <x:c r="AY45" s="130"/>
      <x:c r="AZ45" s="130"/>
    </x:row>
    <x:row r="46">
      <x:c r="A46" s="130"/>
      <x:c r="B46" s="130"/>
      <x:c r="C46" s="130"/>
      <x:c r="D46" s="130"/>
      <x:c r="E46" s="130"/>
      <x:c r="F46" s="130"/>
      <x:c r="G46" s="130"/>
      <x:c r="H46" s="130"/>
      <x:c r="I46" s="130"/>
      <x:c r="J46" s="130"/>
      <x:c r="K46" s="130"/>
      <x:c r="L46" s="130"/>
      <x:c r="M46" s="130"/>
      <x:c r="N46" s="130"/>
      <x:c r="O46" s="130"/>
      <x:c r="P46" s="130"/>
      <x:c r="Q46" s="130"/>
      <x:c r="R46" s="130"/>
      <x:c r="S46" s="130"/>
      <x:c r="T46" s="130"/>
      <x:c r="U46" s="130"/>
      <x:c r="V46" s="130"/>
      <x:c r="W46" s="130"/>
      <x:c r="X46" s="130"/>
      <x:c r="Y46" s="130"/>
      <x:c r="Z46" s="130"/>
      <x:c r="AA46" s="130"/>
      <x:c r="AB46" s="130"/>
      <x:c r="AC46" s="130"/>
      <x:c r="AD46" s="130"/>
      <x:c r="AE46" s="130"/>
      <x:c r="AF46" s="130"/>
      <x:c r="AG46" s="130"/>
      <x:c r="AH46" s="130"/>
      <x:c r="AI46" s="130"/>
      <x:c r="AJ46" s="130"/>
      <x:c r="AK46" s="130"/>
      <x:c r="AL46" s="130"/>
      <x:c r="AM46" s="130"/>
      <x:c r="AN46" s="130"/>
      <x:c r="AO46" s="130"/>
      <x:c r="AP46" s="130"/>
      <x:c r="AQ46" s="130"/>
      <x:c r="AR46" s="130"/>
      <x:c r="AS46" s="130"/>
      <x:c r="AT46" s="130"/>
      <x:c r="AU46" s="130"/>
      <x:c r="AV46" s="130"/>
      <x:c r="AW46" s="130"/>
      <x:c r="AX46" s="130"/>
      <x:c r="AY46" s="130"/>
      <x:c r="AZ46" s="130"/>
    </x:row>
    <x:row r="47">
      <x:c r="A47" s="130"/>
      <x:c r="B47" s="130"/>
      <x:c r="C47" s="130"/>
      <x:c r="D47" s="130"/>
      <x:c r="E47" s="130"/>
      <x:c r="F47" s="130"/>
      <x:c r="G47" s="130"/>
      <x:c r="H47" s="130"/>
      <x:c r="I47" s="130"/>
      <x:c r="J47" s="130"/>
      <x:c r="K47" s="130"/>
      <x:c r="L47" s="130"/>
      <x:c r="M47" s="130"/>
      <x:c r="N47" s="130"/>
      <x:c r="O47" s="130"/>
      <x:c r="P47" s="130"/>
      <x:c r="Q47" s="130"/>
      <x:c r="R47" s="130"/>
      <x:c r="S47" s="130"/>
      <x:c r="T47" s="130"/>
      <x:c r="U47" s="130"/>
      <x:c r="V47" s="130"/>
      <x:c r="W47" s="130"/>
      <x:c r="X47" s="130"/>
      <x:c r="Y47" s="130"/>
      <x:c r="Z47" s="130"/>
      <x:c r="AA47" s="130"/>
      <x:c r="AB47" s="130"/>
      <x:c r="AC47" s="130"/>
      <x:c r="AD47" s="130"/>
      <x:c r="AE47" s="130"/>
      <x:c r="AF47" s="130"/>
      <x:c r="AG47" s="130"/>
      <x:c r="AH47" s="130"/>
      <x:c r="AI47" s="130"/>
      <x:c r="AJ47" s="130"/>
      <x:c r="AK47" s="130"/>
      <x:c r="AL47" s="130"/>
      <x:c r="AM47" s="130"/>
      <x:c r="AN47" s="130"/>
      <x:c r="AO47" s="130"/>
      <x:c r="AP47" s="130"/>
      <x:c r="AQ47" s="130"/>
      <x:c r="AR47" s="130"/>
      <x:c r="AS47" s="130"/>
      <x:c r="AT47" s="130"/>
      <x:c r="AU47" s="130"/>
      <x:c r="AV47" s="130"/>
      <x:c r="AW47" s="130"/>
      <x:c r="AX47" s="130"/>
      <x:c r="AY47" s="130"/>
      <x:c r="AZ47" s="130"/>
    </x:row>
    <x:row r="48">
      <x:c r="A48" s="130"/>
      <x:c r="B48" s="130"/>
      <x:c r="C48" s="130"/>
      <x:c r="D48" s="130"/>
      <x:c r="E48" s="130"/>
      <x:c r="F48" s="130"/>
      <x:c r="G48" s="130"/>
      <x:c r="H48" s="130"/>
      <x:c r="I48" s="130"/>
      <x:c r="J48" s="130"/>
      <x:c r="K48" s="130"/>
      <x:c r="L48" s="130"/>
      <x:c r="M48" s="130"/>
      <x:c r="N48" s="130"/>
      <x:c r="O48" s="130"/>
      <x:c r="P48" s="130"/>
      <x:c r="Q48" s="130"/>
      <x:c r="R48" s="130"/>
      <x:c r="S48" s="130"/>
      <x:c r="T48" s="130"/>
      <x:c r="U48" s="130"/>
      <x:c r="V48" s="130"/>
      <x:c r="W48" s="130"/>
      <x:c r="X48" s="130"/>
      <x:c r="Y48" s="130"/>
      <x:c r="Z48" s="130"/>
      <x:c r="AA48" s="130"/>
      <x:c r="AB48" s="130"/>
      <x:c r="AC48" s="130"/>
      <x:c r="AD48" s="130"/>
      <x:c r="AE48" s="130"/>
      <x:c r="AF48" s="130"/>
      <x:c r="AG48" s="130"/>
      <x:c r="AH48" s="130"/>
      <x:c r="AI48" s="130"/>
      <x:c r="AJ48" s="130"/>
      <x:c r="AK48" s="130"/>
      <x:c r="AL48" s="130"/>
      <x:c r="AM48" s="130"/>
      <x:c r="AN48" s="130"/>
      <x:c r="AO48" s="130"/>
      <x:c r="AP48" s="130"/>
      <x:c r="AQ48" s="130"/>
      <x:c r="AR48" s="130"/>
      <x:c r="AS48" s="130"/>
      <x:c r="AT48" s="130"/>
      <x:c r="AU48" s="130"/>
      <x:c r="AV48" s="130"/>
      <x:c r="AW48" s="130"/>
      <x:c r="AX48" s="130"/>
      <x:c r="AY48" s="130"/>
      <x:c r="AZ48" s="130"/>
    </x:row>
    <x:row r="49">
      <x:c r="A49" s="130"/>
      <x:c r="B49" s="130"/>
      <x:c r="C49" s="130"/>
      <x:c r="D49" s="130"/>
      <x:c r="E49" s="130"/>
      <x:c r="F49" s="130"/>
      <x:c r="G49" s="130"/>
      <x:c r="H49" s="130"/>
      <x:c r="I49" s="130"/>
      <x:c r="J49" s="130"/>
      <x:c r="K49" s="130"/>
      <x:c r="L49" s="130"/>
      <x:c r="M49" s="130"/>
      <x:c r="N49" s="130"/>
      <x:c r="O49" s="130"/>
      <x:c r="P49" s="130"/>
      <x:c r="Q49" s="130"/>
      <x:c r="R49" s="130"/>
      <x:c r="S49" s="130"/>
      <x:c r="T49" s="130"/>
      <x:c r="U49" s="130"/>
      <x:c r="V49" s="130"/>
      <x:c r="W49" s="130"/>
      <x:c r="X49" s="130"/>
      <x:c r="Y49" s="130"/>
      <x:c r="Z49" s="130"/>
      <x:c r="AA49" s="130"/>
      <x:c r="AB49" s="130"/>
      <x:c r="AC49" s="130"/>
      <x:c r="AD49" s="130"/>
      <x:c r="AE49" s="130"/>
      <x:c r="AF49" s="130"/>
      <x:c r="AG49" s="130"/>
      <x:c r="AH49" s="130"/>
      <x:c r="AI49" s="130"/>
      <x:c r="AJ49" s="130"/>
      <x:c r="AK49" s="130"/>
      <x:c r="AL49" s="130"/>
      <x:c r="AM49" s="130"/>
      <x:c r="AN49" s="130"/>
      <x:c r="AO49" s="130"/>
      <x:c r="AP49" s="130"/>
      <x:c r="AQ49" s="130"/>
      <x:c r="AR49" s="130"/>
      <x:c r="AS49" s="130"/>
      <x:c r="AT49" s="130"/>
      <x:c r="AU49" s="130"/>
      <x:c r="AV49" s="130"/>
      <x:c r="AW49" s="130"/>
      <x:c r="AX49" s="130"/>
      <x:c r="AY49" s="130"/>
      <x:c r="AZ49" s="130"/>
    </x:row>
    <x:row r="50">
      <x:c r="A50" s="130"/>
      <x:c r="B50" s="130"/>
      <x:c r="C50" s="130"/>
      <x:c r="D50" s="130"/>
      <x:c r="E50" s="130"/>
      <x:c r="F50" s="130"/>
      <x:c r="G50" s="130"/>
      <x:c r="H50" s="130"/>
      <x:c r="I50" s="130"/>
      <x:c r="J50" s="130"/>
      <x:c r="K50" s="130"/>
      <x:c r="L50" s="130"/>
      <x:c r="M50" s="130"/>
      <x:c r="N50" s="130"/>
      <x:c r="O50" s="130"/>
      <x:c r="P50" s="130"/>
      <x:c r="Q50" s="130"/>
      <x:c r="R50" s="130"/>
      <x:c r="S50" s="130"/>
      <x:c r="T50" s="130"/>
      <x:c r="U50" s="130"/>
      <x:c r="V50" s="130"/>
      <x:c r="W50" s="130"/>
      <x:c r="X50" s="130"/>
      <x:c r="Y50" s="130"/>
      <x:c r="Z50" s="130"/>
      <x:c r="AA50" s="130"/>
      <x:c r="AB50" s="130"/>
      <x:c r="AC50" s="130"/>
      <x:c r="AD50" s="130"/>
      <x:c r="AE50" s="130"/>
      <x:c r="AF50" s="130"/>
      <x:c r="AG50" s="130"/>
      <x:c r="AH50" s="130"/>
      <x:c r="AI50" s="130"/>
      <x:c r="AJ50" s="130"/>
      <x:c r="AK50" s="130"/>
      <x:c r="AL50" s="130"/>
      <x:c r="AM50" s="130"/>
      <x:c r="AN50" s="130"/>
      <x:c r="AO50" s="130"/>
      <x:c r="AP50" s="130"/>
      <x:c r="AQ50" s="130"/>
      <x:c r="AR50" s="130"/>
      <x:c r="AS50" s="130"/>
      <x:c r="AT50" s="130"/>
      <x:c r="AU50" s="130"/>
      <x:c r="AV50" s="130"/>
      <x:c r="AW50" s="130"/>
      <x:c r="AX50" s="130"/>
      <x:c r="AY50" s="130"/>
      <x:c r="AZ50" s="130"/>
    </x:row>
    <x:row r="51">
      <x:c r="A51" s="130"/>
      <x:c r="B51" s="130"/>
      <x:c r="C51" s="130"/>
      <x:c r="D51" s="130"/>
      <x:c r="E51" s="130"/>
      <x:c r="F51" s="130"/>
      <x:c r="G51" s="130"/>
      <x:c r="H51" s="130"/>
      <x:c r="I51" s="130"/>
      <x:c r="J51" s="130"/>
      <x:c r="K51" s="130"/>
      <x:c r="L51" s="130"/>
      <x:c r="M51" s="130"/>
      <x:c r="N51" s="130"/>
      <x:c r="O51" s="130"/>
      <x:c r="P51" s="130"/>
      <x:c r="Q51" s="130"/>
      <x:c r="R51" s="130"/>
      <x:c r="S51" s="130"/>
      <x:c r="T51" s="130"/>
      <x:c r="U51" s="130"/>
      <x:c r="V51" s="130"/>
      <x:c r="W51" s="130"/>
      <x:c r="X51" s="130"/>
      <x:c r="Y51" s="130"/>
      <x:c r="Z51" s="130"/>
      <x:c r="AA51" s="130"/>
      <x:c r="AB51" s="130"/>
      <x:c r="AC51" s="130"/>
      <x:c r="AD51" s="130"/>
      <x:c r="AE51" s="130"/>
      <x:c r="AF51" s="130"/>
      <x:c r="AG51" s="130"/>
      <x:c r="AH51" s="130"/>
      <x:c r="AI51" s="130"/>
      <x:c r="AJ51" s="130"/>
      <x:c r="AK51" s="130"/>
      <x:c r="AL51" s="130"/>
      <x:c r="AM51" s="130"/>
      <x:c r="AN51" s="130"/>
      <x:c r="AO51" s="130"/>
      <x:c r="AP51" s="130"/>
      <x:c r="AQ51" s="130"/>
      <x:c r="AR51" s="130"/>
      <x:c r="AS51" s="130"/>
      <x:c r="AT51" s="130"/>
      <x:c r="AU51" s="130"/>
      <x:c r="AV51" s="130"/>
      <x:c r="AW51" s="130"/>
      <x:c r="AX51" s="130"/>
      <x:c r="AY51" s="130"/>
      <x:c r="AZ51" s="130"/>
    </x:row>
    <x:row r="52">
      <x:c r="A52" s="130"/>
      <x:c r="B52" s="130"/>
      <x:c r="C52" s="130"/>
      <x:c r="D52" s="130"/>
      <x:c r="E52" s="130"/>
      <x:c r="F52" s="130"/>
      <x:c r="G52" s="130"/>
      <x:c r="H52" s="130"/>
      <x:c r="I52" s="130"/>
      <x:c r="J52" s="130"/>
      <x:c r="K52" s="130"/>
      <x:c r="L52" s="130"/>
      <x:c r="M52" s="130"/>
      <x:c r="N52" s="130"/>
      <x:c r="O52" s="130"/>
      <x:c r="P52" s="130"/>
      <x:c r="Q52" s="130"/>
      <x:c r="R52" s="130"/>
      <x:c r="S52" s="130"/>
      <x:c r="T52" s="130"/>
      <x:c r="U52" s="130"/>
      <x:c r="V52" s="130"/>
      <x:c r="W52" s="130"/>
      <x:c r="X52" s="130"/>
      <x:c r="Y52" s="130"/>
      <x:c r="Z52" s="130"/>
      <x:c r="AA52" s="130"/>
      <x:c r="AB52" s="130"/>
      <x:c r="AC52" s="130"/>
      <x:c r="AD52" s="130"/>
      <x:c r="AE52" s="130"/>
      <x:c r="AF52" s="130"/>
      <x:c r="AG52" s="130"/>
      <x:c r="AH52" s="130"/>
      <x:c r="AI52" s="130"/>
      <x:c r="AJ52" s="130"/>
      <x:c r="AK52" s="130"/>
      <x:c r="AL52" s="130"/>
      <x:c r="AM52" s="130"/>
      <x:c r="AN52" s="130"/>
      <x:c r="AO52" s="130"/>
      <x:c r="AP52" s="130"/>
      <x:c r="AQ52" s="130"/>
      <x:c r="AR52" s="130"/>
      <x:c r="AS52" s="130"/>
      <x:c r="AT52" s="130"/>
      <x:c r="AU52" s="130"/>
      <x:c r="AV52" s="130"/>
      <x:c r="AW52" s="130"/>
      <x:c r="AX52" s="130"/>
      <x:c r="AY52" s="130"/>
      <x:c r="AZ52" s="130"/>
    </x:row>
    <x:row r="53">
      <x:c r="A53" s="130"/>
      <x:c r="B53" s="130"/>
      <x:c r="C53" s="130"/>
      <x:c r="D53" s="130"/>
      <x:c r="E53" s="130"/>
      <x:c r="F53" s="130"/>
      <x:c r="G53" s="130"/>
      <x:c r="H53" s="130"/>
      <x:c r="I53" s="130"/>
      <x:c r="J53" s="130"/>
      <x:c r="K53" s="130"/>
      <x:c r="L53" s="130"/>
      <x:c r="M53" s="130"/>
      <x:c r="N53" s="130"/>
      <x:c r="O53" s="130"/>
      <x:c r="P53" s="130"/>
      <x:c r="Q53" s="130"/>
      <x:c r="R53" s="130"/>
      <x:c r="S53" s="130"/>
      <x:c r="T53" s="130"/>
      <x:c r="U53" s="130"/>
      <x:c r="V53" s="130"/>
      <x:c r="W53" s="130"/>
      <x:c r="X53" s="130"/>
      <x:c r="Y53" s="130"/>
      <x:c r="Z53" s="130"/>
      <x:c r="AA53" s="130"/>
      <x:c r="AB53" s="130"/>
      <x:c r="AC53" s="130"/>
      <x:c r="AD53" s="130"/>
      <x:c r="AE53" s="130"/>
      <x:c r="AF53" s="130"/>
      <x:c r="AG53" s="130"/>
      <x:c r="AH53" s="130"/>
      <x:c r="AI53" s="130"/>
      <x:c r="AJ53" s="130"/>
      <x:c r="AK53" s="130"/>
      <x:c r="AL53" s="130"/>
      <x:c r="AM53" s="130"/>
      <x:c r="AN53" s="130"/>
      <x:c r="AO53" s="130"/>
      <x:c r="AP53" s="130"/>
      <x:c r="AQ53" s="130"/>
      <x:c r="AR53" s="130"/>
      <x:c r="AS53" s="130"/>
      <x:c r="AT53" s="130"/>
      <x:c r="AU53" s="130"/>
      <x:c r="AV53" s="130"/>
      <x:c r="AW53" s="130"/>
      <x:c r="AX53" s="130"/>
      <x:c r="AY53" s="130"/>
      <x:c r="AZ53" s="130"/>
    </x:row>
    <x:row r="54">
      <x:c r="A54" s="130"/>
      <x:c r="B54" s="130"/>
      <x:c r="C54" s="130"/>
      <x:c r="D54" s="130"/>
      <x:c r="E54" s="130"/>
      <x:c r="F54" s="130"/>
      <x:c r="G54" s="130"/>
      <x:c r="H54" s="130"/>
      <x:c r="I54" s="130"/>
      <x:c r="J54" s="130"/>
      <x:c r="K54" s="130"/>
      <x:c r="L54" s="130"/>
      <x:c r="M54" s="130"/>
      <x:c r="N54" s="130"/>
      <x:c r="O54" s="130"/>
      <x:c r="P54" s="130"/>
      <x:c r="Q54" s="130"/>
      <x:c r="R54" s="130"/>
      <x:c r="S54" s="130"/>
      <x:c r="T54" s="130"/>
      <x:c r="U54" s="130"/>
      <x:c r="V54" s="130"/>
      <x:c r="W54" s="130"/>
      <x:c r="X54" s="130"/>
      <x:c r="Y54" s="130"/>
      <x:c r="Z54" s="130"/>
      <x:c r="AA54" s="130"/>
      <x:c r="AB54" s="130"/>
      <x:c r="AC54" s="130"/>
      <x:c r="AD54" s="130"/>
      <x:c r="AE54" s="130"/>
      <x:c r="AF54" s="130"/>
      <x:c r="AG54" s="130"/>
      <x:c r="AH54" s="130"/>
      <x:c r="AI54" s="130"/>
      <x:c r="AJ54" s="130"/>
      <x:c r="AK54" s="130"/>
      <x:c r="AL54" s="130"/>
      <x:c r="AM54" s="130"/>
      <x:c r="AN54" s="130"/>
      <x:c r="AO54" s="130"/>
      <x:c r="AP54" s="130"/>
      <x:c r="AQ54" s="130"/>
      <x:c r="AR54" s="130"/>
      <x:c r="AS54" s="130"/>
      <x:c r="AT54" s="130"/>
      <x:c r="AU54" s="130"/>
      <x:c r="AV54" s="130"/>
      <x:c r="AW54" s="130"/>
      <x:c r="AX54" s="130"/>
      <x:c r="AY54" s="130"/>
      <x:c r="AZ54" s="130"/>
    </x:row>
    <x:row r="55">
      <x:c r="A55" s="130"/>
      <x:c r="B55" s="130"/>
      <x:c r="C55" s="130"/>
      <x:c r="D55" s="130"/>
      <x:c r="E55" s="130"/>
      <x:c r="F55" s="130"/>
      <x:c r="G55" s="130"/>
      <x:c r="H55" s="130"/>
      <x:c r="I55" s="130"/>
      <x:c r="J55" s="130"/>
      <x:c r="K55" s="130"/>
      <x:c r="L55" s="130"/>
      <x:c r="M55" s="130"/>
      <x:c r="N55" s="130"/>
      <x:c r="O55" s="130"/>
      <x:c r="P55" s="130"/>
      <x:c r="Q55" s="130"/>
      <x:c r="R55" s="130"/>
      <x:c r="S55" s="130"/>
      <x:c r="T55" s="130"/>
      <x:c r="U55" s="130"/>
      <x:c r="V55" s="130"/>
      <x:c r="W55" s="130"/>
      <x:c r="X55" s="130"/>
      <x:c r="Y55" s="130"/>
      <x:c r="Z55" s="130"/>
      <x:c r="AA55" s="130"/>
      <x:c r="AB55" s="130"/>
      <x:c r="AC55" s="130"/>
      <x:c r="AD55" s="130"/>
      <x:c r="AE55" s="130"/>
      <x:c r="AF55" s="130"/>
      <x:c r="AG55" s="130"/>
      <x:c r="AH55" s="130"/>
      <x:c r="AI55" s="130"/>
      <x:c r="AJ55" s="130"/>
      <x:c r="AK55" s="130"/>
      <x:c r="AL55" s="130"/>
      <x:c r="AM55" s="130"/>
      <x:c r="AN55" s="130"/>
      <x:c r="AO55" s="130"/>
      <x:c r="AP55" s="130"/>
      <x:c r="AQ55" s="130"/>
      <x:c r="AR55" s="130"/>
      <x:c r="AS55" s="130"/>
      <x:c r="AT55" s="130"/>
      <x:c r="AU55" s="130"/>
      <x:c r="AV55" s="130"/>
      <x:c r="AW55" s="130"/>
      <x:c r="AX55" s="130"/>
      <x:c r="AY55" s="130"/>
      <x:c r="AZ55" s="130"/>
    </x:row>
    <x:row r="56">
      <x:c r="A56" s="130"/>
      <x:c r="B56" s="130"/>
      <x:c r="C56" s="130"/>
      <x:c r="D56" s="130"/>
      <x:c r="E56" s="130"/>
      <x:c r="F56" s="130"/>
      <x:c r="G56" s="130"/>
      <x:c r="H56" s="130"/>
      <x:c r="I56" s="130"/>
      <x:c r="J56" s="130"/>
      <x:c r="K56" s="130"/>
      <x:c r="L56" s="130"/>
      <x:c r="M56" s="130"/>
      <x:c r="N56" s="130"/>
      <x:c r="O56" s="130"/>
      <x:c r="P56" s="130"/>
      <x:c r="Q56" s="130"/>
      <x:c r="R56" s="130"/>
      <x:c r="S56" s="130"/>
      <x:c r="T56" s="130"/>
      <x:c r="U56" s="130"/>
      <x:c r="V56" s="130"/>
      <x:c r="W56" s="130"/>
      <x:c r="X56" s="130"/>
      <x:c r="Y56" s="130"/>
      <x:c r="Z56" s="130"/>
      <x:c r="AA56" s="130"/>
      <x:c r="AB56" s="130"/>
      <x:c r="AC56" s="130"/>
      <x:c r="AD56" s="130"/>
      <x:c r="AE56" s="130"/>
      <x:c r="AF56" s="130"/>
      <x:c r="AG56" s="130"/>
      <x:c r="AH56" s="130"/>
      <x:c r="AI56" s="130"/>
      <x:c r="AJ56" s="130"/>
      <x:c r="AK56" s="130"/>
      <x:c r="AL56" s="130"/>
      <x:c r="AM56" s="130"/>
      <x:c r="AN56" s="130"/>
      <x:c r="AO56" s="130"/>
      <x:c r="AP56" s="130"/>
      <x:c r="AQ56" s="130"/>
      <x:c r="AR56" s="130"/>
      <x:c r="AS56" s="130"/>
      <x:c r="AT56" s="130"/>
      <x:c r="AU56" s="130"/>
      <x:c r="AV56" s="130"/>
      <x:c r="AW56" s="130"/>
      <x:c r="AX56" s="130"/>
      <x:c r="AY56" s="130"/>
      <x:c r="AZ56" s="130"/>
    </x:row>
    <x:row r="57">
      <x:c r="A57" s="130"/>
      <x:c r="B57" s="130"/>
      <x:c r="C57" s="130"/>
      <x:c r="D57" s="130"/>
      <x:c r="E57" s="130"/>
      <x:c r="F57" s="130"/>
      <x:c r="G57" s="130"/>
      <x:c r="H57" s="130"/>
      <x:c r="I57" s="130"/>
      <x:c r="J57" s="130"/>
      <x:c r="K57" s="130"/>
      <x:c r="L57" s="130"/>
      <x:c r="M57" s="130"/>
      <x:c r="N57" s="130"/>
      <x:c r="O57" s="130"/>
      <x:c r="P57" s="130"/>
      <x:c r="Q57" s="130"/>
      <x:c r="R57" s="130"/>
      <x:c r="S57" s="130"/>
      <x:c r="T57" s="130"/>
      <x:c r="U57" s="130"/>
      <x:c r="V57" s="130"/>
      <x:c r="W57" s="130"/>
      <x:c r="X57" s="130"/>
      <x:c r="Y57" s="130"/>
      <x:c r="Z57" s="130"/>
      <x:c r="AA57" s="130"/>
      <x:c r="AB57" s="130"/>
      <x:c r="AC57" s="130"/>
      <x:c r="AD57" s="130"/>
      <x:c r="AE57" s="130"/>
      <x:c r="AF57" s="130"/>
      <x:c r="AG57" s="130"/>
      <x:c r="AH57" s="130"/>
      <x:c r="AI57" s="130"/>
      <x:c r="AJ57" s="130"/>
      <x:c r="AK57" s="130"/>
      <x:c r="AL57" s="130"/>
      <x:c r="AM57" s="130"/>
      <x:c r="AN57" s="130"/>
      <x:c r="AO57" s="130"/>
      <x:c r="AP57" s="130"/>
      <x:c r="AQ57" s="130"/>
      <x:c r="AR57" s="130"/>
      <x:c r="AS57" s="130"/>
      <x:c r="AT57" s="130"/>
      <x:c r="AU57" s="130"/>
      <x:c r="AV57" s="130"/>
      <x:c r="AW57" s="130"/>
      <x:c r="AX57" s="130"/>
      <x:c r="AY57" s="130"/>
      <x:c r="AZ57" s="130"/>
    </x:row>
    <x:row r="58">
      <x:c r="A58" s="130"/>
      <x:c r="B58" s="130"/>
      <x:c r="C58" s="130"/>
      <x:c r="D58" s="130"/>
      <x:c r="E58" s="130"/>
      <x:c r="F58" s="130"/>
      <x:c r="G58" s="130"/>
      <x:c r="H58" s="130"/>
      <x:c r="I58" s="130"/>
      <x:c r="J58" s="130"/>
      <x:c r="K58" s="130"/>
      <x:c r="L58" s="130"/>
      <x:c r="M58" s="130"/>
      <x:c r="N58" s="130"/>
      <x:c r="O58" s="130"/>
      <x:c r="P58" s="130"/>
      <x:c r="Q58" s="130"/>
      <x:c r="R58" s="130"/>
      <x:c r="S58" s="130"/>
      <x:c r="T58" s="130"/>
      <x:c r="U58" s="130"/>
      <x:c r="V58" s="130"/>
      <x:c r="W58" s="130"/>
      <x:c r="X58" s="130"/>
      <x:c r="Y58" s="130"/>
      <x:c r="Z58" s="130"/>
      <x:c r="AA58" s="130"/>
      <x:c r="AB58" s="130"/>
      <x:c r="AC58" s="130"/>
      <x:c r="AD58" s="130"/>
      <x:c r="AE58" s="130"/>
      <x:c r="AF58" s="130"/>
      <x:c r="AG58" s="130"/>
      <x:c r="AH58" s="130"/>
      <x:c r="AI58" s="130"/>
      <x:c r="AJ58" s="130"/>
      <x:c r="AK58" s="130"/>
      <x:c r="AL58" s="130"/>
      <x:c r="AM58" s="130"/>
      <x:c r="AN58" s="130"/>
      <x:c r="AO58" s="130"/>
      <x:c r="AP58" s="130"/>
      <x:c r="AQ58" s="130"/>
      <x:c r="AR58" s="130"/>
      <x:c r="AS58" s="130"/>
      <x:c r="AT58" s="130"/>
      <x:c r="AU58" s="130"/>
      <x:c r="AV58" s="130"/>
      <x:c r="AW58" s="130"/>
      <x:c r="AX58" s="130"/>
      <x:c r="AY58" s="130"/>
      <x:c r="AZ58" s="130"/>
    </x:row>
    <x:row r="59">
      <x:c r="A59" s="130"/>
      <x:c r="B59" s="130"/>
      <x:c r="C59" s="130"/>
      <x:c r="D59" s="130"/>
      <x:c r="E59" s="130"/>
      <x:c r="F59" s="130"/>
      <x:c r="G59" s="130"/>
      <x:c r="H59" s="130"/>
      <x:c r="I59" s="130"/>
      <x:c r="J59" s="130"/>
      <x:c r="K59" s="130"/>
      <x:c r="L59" s="130"/>
      <x:c r="M59" s="130"/>
      <x:c r="N59" s="130"/>
      <x:c r="O59" s="130"/>
      <x:c r="P59" s="130"/>
      <x:c r="Q59" s="130"/>
      <x:c r="R59" s="130"/>
      <x:c r="S59" s="130"/>
      <x:c r="T59" s="130"/>
      <x:c r="U59" s="130"/>
      <x:c r="V59" s="130"/>
      <x:c r="W59" s="130"/>
      <x:c r="X59" s="130"/>
      <x:c r="Y59" s="130"/>
      <x:c r="Z59" s="130"/>
      <x:c r="AA59" s="130"/>
      <x:c r="AB59" s="130"/>
      <x:c r="AC59" s="130"/>
      <x:c r="AD59" s="130"/>
      <x:c r="AE59" s="130"/>
      <x:c r="AF59" s="130"/>
      <x:c r="AG59" s="130"/>
      <x:c r="AH59" s="130"/>
      <x:c r="AI59" s="130"/>
      <x:c r="AJ59" s="130"/>
      <x:c r="AK59" s="130"/>
      <x:c r="AL59" s="130"/>
      <x:c r="AM59" s="130"/>
      <x:c r="AN59" s="130"/>
      <x:c r="AO59" s="130"/>
      <x:c r="AP59" s="130"/>
      <x:c r="AQ59" s="130"/>
      <x:c r="AR59" s="130"/>
      <x:c r="AS59" s="130"/>
      <x:c r="AT59" s="130"/>
      <x:c r="AU59" s="130"/>
      <x:c r="AV59" s="130"/>
      <x:c r="AW59" s="130"/>
      <x:c r="AX59" s="130"/>
      <x:c r="AY59" s="130"/>
      <x:c r="AZ59" s="130"/>
    </x:row>
    <x:row r="60">
      <x:c r="A60" s="130"/>
      <x:c r="B60" s="130"/>
      <x:c r="C60" s="130"/>
      <x:c r="D60" s="130"/>
      <x:c r="E60" s="130"/>
      <x:c r="F60" s="130"/>
      <x:c r="G60" s="130"/>
      <x:c r="H60" s="130"/>
      <x:c r="I60" s="130"/>
      <x:c r="J60" s="130"/>
      <x:c r="K60" s="130"/>
      <x:c r="L60" s="130"/>
      <x:c r="M60" s="130"/>
      <x:c r="N60" s="130"/>
      <x:c r="O60" s="130"/>
      <x:c r="P60" s="130"/>
      <x:c r="Q60" s="130"/>
      <x:c r="R60" s="130"/>
      <x:c r="S60" s="130"/>
      <x:c r="T60" s="130"/>
      <x:c r="U60" s="130"/>
      <x:c r="V60" s="130"/>
      <x:c r="W60" s="130"/>
      <x:c r="X60" s="130"/>
      <x:c r="Y60" s="130"/>
      <x:c r="Z60" s="130"/>
      <x:c r="AA60" s="130"/>
      <x:c r="AB60" s="130"/>
      <x:c r="AC60" s="130"/>
      <x:c r="AD60" s="130"/>
      <x:c r="AE60" s="130"/>
      <x:c r="AF60" s="130"/>
      <x:c r="AG60" s="130"/>
      <x:c r="AH60" s="130"/>
      <x:c r="AI60" s="130"/>
      <x:c r="AJ60" s="130"/>
      <x:c r="AK60" s="130"/>
      <x:c r="AL60" s="130"/>
      <x:c r="AM60" s="130"/>
      <x:c r="AN60" s="130"/>
      <x:c r="AO60" s="130"/>
      <x:c r="AP60" s="130"/>
      <x:c r="AQ60" s="130"/>
      <x:c r="AR60" s="130"/>
      <x:c r="AS60" s="130"/>
      <x:c r="AT60" s="130"/>
      <x:c r="AU60" s="130"/>
      <x:c r="AV60" s="130"/>
      <x:c r="AW60" s="130"/>
      <x:c r="AX60" s="130"/>
      <x:c r="AY60" s="130"/>
      <x:c r="AZ60" s="130"/>
    </x:row>
  </x:sheetData>
  <x:mergeCells>
    <x:mergeCell ref="A1:H2"/>
    <x:mergeCell ref="E4:H4"/>
    <x:mergeCell ref="E5:H11"/>
    <x:mergeCell ref="E13:H13"/>
    <x:mergeCell ref="E14:H18"/>
  </x:mergeCells>
  <x:pageMargins left="0.7" right="0.7" top="0.75" bottom="0.75" header="0.3" footer="0.3"/>
</x:worksheet>
</file>